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C:\Users\bmat\Desktop\"/>
    </mc:Choice>
  </mc:AlternateContent>
  <xr:revisionPtr revIDLastSave="0" documentId="13_ncr:1_{B15DC619-CC97-411E-94B9-E4CBA38F2693}" xr6:coauthVersionLast="47" xr6:coauthVersionMax="47" xr10:uidLastSave="{00000000-0000-0000-0000-000000000000}"/>
  <bookViews>
    <workbookView xWindow="-120" yWindow="-120" windowWidth="21840" windowHeight="13020" xr2:uid="{64C4BF4F-4482-4D00-AACE-7FBF78100239}"/>
  </bookViews>
  <sheets>
    <sheet name="Close price" sheetId="1" r:id="rId1"/>
    <sheet name="Index value" sheetId="6" r:id="rId2"/>
    <sheet name="31122024" sheetId="2" r:id="rId3"/>
    <sheet name="31012025" sheetId="3" r:id="rId4"/>
    <sheet name="28022025" sheetId="4" r:id="rId5"/>
    <sheet name="31032025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6" l="1"/>
  <c r="B2" i="6"/>
  <c r="G8" i="5"/>
  <c r="G7" i="5"/>
  <c r="G6" i="5"/>
  <c r="G8" i="4"/>
  <c r="G7" i="4"/>
  <c r="G6" i="4"/>
  <c r="G7" i="3"/>
  <c r="G8" i="3"/>
  <c r="G6" i="3"/>
  <c r="D7" i="2"/>
  <c r="D8" i="2"/>
  <c r="D6" i="2"/>
  <c r="C7" i="5"/>
  <c r="C8" i="5"/>
  <c r="C6" i="5"/>
  <c r="K8" i="5"/>
  <c r="K7" i="5"/>
  <c r="K6" i="5"/>
  <c r="K6" i="4"/>
  <c r="C7" i="4"/>
  <c r="C8" i="4"/>
  <c r="C6" i="4"/>
  <c r="K8" i="4"/>
  <c r="K7" i="4"/>
  <c r="K7" i="3"/>
  <c r="K8" i="3"/>
  <c r="K6" i="3"/>
  <c r="C6" i="3"/>
  <c r="C6" i="2"/>
  <c r="C7" i="2"/>
  <c r="C7" i="3" s="1"/>
  <c r="C8" i="2"/>
  <c r="C8" i="3" s="1"/>
  <c r="E8" i="4" l="1"/>
  <c r="E8" i="5" l="1"/>
  <c r="H8" i="4"/>
  <c r="E8" i="2"/>
  <c r="E8" i="3"/>
  <c r="H8" i="3" s="1"/>
  <c r="E7" i="5"/>
  <c r="H7" i="5" s="1"/>
  <c r="E6" i="5"/>
  <c r="H6" i="5" s="1"/>
  <c r="E6" i="3"/>
  <c r="H6" i="3" s="1"/>
  <c r="E6" i="2"/>
  <c r="E7" i="4"/>
  <c r="H7" i="4" s="1"/>
  <c r="E7" i="3"/>
  <c r="H7" i="3" s="1"/>
  <c r="E7" i="2"/>
  <c r="E6" i="4"/>
  <c r="H6" i="4" s="1"/>
  <c r="H8" i="5"/>
  <c r="F7" i="2" l="1"/>
  <c r="F7" i="3" s="1"/>
  <c r="I7" i="3" s="1"/>
  <c r="D7" i="3"/>
  <c r="F6" i="2"/>
  <c r="F6" i="3" s="1"/>
  <c r="I6" i="3" s="1"/>
  <c r="D6" i="3"/>
  <c r="F8" i="2"/>
  <c r="F8" i="3" s="1"/>
  <c r="I8" i="3" s="1"/>
  <c r="D8" i="3"/>
  <c r="C2" i="3" l="1"/>
  <c r="J6" i="3" l="1"/>
  <c r="B3" i="6"/>
  <c r="J7" i="3"/>
  <c r="L8" i="3"/>
  <c r="L6" i="3"/>
  <c r="J8" i="3"/>
  <c r="L7" i="3"/>
  <c r="D3" i="6" l="1"/>
  <c r="C3" i="6"/>
  <c r="D6" i="4"/>
  <c r="M6" i="3"/>
  <c r="M7" i="3"/>
  <c r="F7" i="4" s="1"/>
  <c r="I7" i="4" s="1"/>
  <c r="D7" i="4"/>
  <c r="M8" i="3"/>
  <c r="F8" i="4" s="1"/>
  <c r="I8" i="4" s="1"/>
  <c r="D8" i="4"/>
  <c r="G2" i="3" l="1"/>
  <c r="M2" i="3" s="1"/>
  <c r="F6" i="4"/>
  <c r="I6" i="4" s="1"/>
  <c r="C2" i="4" l="1"/>
  <c r="B4" i="6" s="1"/>
  <c r="D4" i="6" l="1"/>
  <c r="C4" i="6"/>
  <c r="L6" i="4"/>
  <c r="L8" i="4"/>
  <c r="L7" i="4"/>
  <c r="J8" i="4"/>
  <c r="J7" i="4"/>
  <c r="J6" i="4"/>
  <c r="M7" i="4" l="1"/>
  <c r="F7" i="5" s="1"/>
  <c r="I7" i="5" s="1"/>
  <c r="D7" i="5"/>
  <c r="M8" i="4"/>
  <c r="F8" i="5" s="1"/>
  <c r="I8" i="5" s="1"/>
  <c r="D8" i="5"/>
  <c r="D6" i="5"/>
  <c r="M6" i="4"/>
  <c r="F6" i="5" l="1"/>
  <c r="I6" i="5" s="1"/>
  <c r="G2" i="4"/>
  <c r="M2" i="4" s="1"/>
  <c r="C2" i="5" l="1"/>
  <c r="B5" i="6" s="1"/>
  <c r="J6" i="5"/>
  <c r="D5" i="6" l="1"/>
  <c r="C5" i="6"/>
  <c r="L6" i="5"/>
  <c r="M6" i="5" s="1"/>
  <c r="L8" i="5"/>
  <c r="M8" i="5" s="1"/>
  <c r="L7" i="5"/>
  <c r="M7" i="5" s="1"/>
  <c r="G2" i="5" s="1"/>
  <c r="M2" i="5" s="1"/>
  <c r="J7" i="5"/>
  <c r="J8" i="5"/>
</calcChain>
</file>

<file path=xl/sharedStrings.xml><?xml version="1.0" encoding="utf-8"?>
<sst xmlns="http://schemas.openxmlformats.org/spreadsheetml/2006/main" count="82" uniqueCount="27">
  <si>
    <t>XBT BGN Curncy</t>
  </si>
  <si>
    <t>XET BGN Curncy</t>
  </si>
  <si>
    <t>XSO BGN Curncy</t>
  </si>
  <si>
    <t>Date</t>
  </si>
  <si>
    <t>Index Value</t>
  </si>
  <si>
    <t>Performance</t>
  </si>
  <si>
    <t>Total return</t>
  </si>
  <si>
    <t>Index value</t>
  </si>
  <si>
    <t>Index currency</t>
  </si>
  <si>
    <t>USD</t>
  </si>
  <si>
    <t>Asset</t>
  </si>
  <si>
    <t>Initial weight</t>
  </si>
  <si>
    <t>Close price</t>
  </si>
  <si>
    <t>Quantity</t>
  </si>
  <si>
    <t>USD value</t>
  </si>
  <si>
    <t>Index value after rebalancing</t>
  </si>
  <si>
    <t>Index value before rebalancing equals index value after rebalancing</t>
  </si>
  <si>
    <t>Previous weight</t>
  </si>
  <si>
    <t>Previous Quantity</t>
  </si>
  <si>
    <t>Previous close</t>
  </si>
  <si>
    <t>Previous USD value</t>
  </si>
  <si>
    <t>Last Close</t>
  </si>
  <si>
    <t>Last USD Value</t>
  </si>
  <si>
    <t>Last weight</t>
  </si>
  <si>
    <t>Weight after rebalancing</t>
  </si>
  <si>
    <t>New quantity</t>
  </si>
  <si>
    <t>New USD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</si>
</sst>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"/>
    <numFmt numFmtId="166" formatCode="0.0%"/>
    <numFmt numFmtId="167" formatCode="dd/mm/yyyy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2" borderId="0" xfId="0" applyNumberFormat="1" applyFill="1"/>
    <xf numFmtId="0" fontId="0" fillId="2" borderId="0" xfId="0" applyFill="1"/>
    <xf numFmtId="164" fontId="0" fillId="2" borderId="0" xfId="1" applyFont="1" applyFill="1"/>
    <xf numFmtId="2" fontId="0" fillId="2" borderId="0" xfId="0" applyNumberFormat="1" applyFill="1"/>
    <xf numFmtId="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/>
    <xf numFmtId="165" fontId="0" fillId="2" borderId="0" xfId="0" applyNumberFormat="1" applyFill="1"/>
    <xf numFmtId="9" fontId="0" fillId="2" borderId="0" xfId="2" applyFont="1" applyFill="1"/>
    <xf numFmtId="166" fontId="0" fillId="2" borderId="0" xfId="2" applyNumberFormat="1" applyFont="1" applyFill="1"/>
    <xf numFmtId="10" fontId="0" fillId="2" borderId="0" xfId="2" applyNumberFormat="1" applyFont="1" applyFill="1" applyAlignment="1">
      <alignment horizontal="center"/>
    </xf>
    <xf numFmtId="0" fontId="0" fillId="2" borderId="0" xfId="0" applyFill="1" applyAlignment="1">
      <alignment horizontal="right"/>
    </xf>
    <xf numFmtId="165" fontId="0" fillId="2" borderId="0" xfId="0" applyNumberFormat="1" applyFill="1" applyAlignment="1">
      <alignment horizontal="center"/>
    </xf>
    <xf numFmtId="167" fontId="0" fillId="2" borderId="0" xfId="0" applyNumberFormat="1" applyFill="1"/>
    <xf numFmtId="0" fontId="0" fillId="2" borderId="0" xfId="0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6">
    <dxf>
      <fill>
        <patternFill>
          <bgColor theme="9" tint="0.79998168889431442"/>
        </patternFill>
      </fill>
    </dxf>
    <dxf>
      <fill>
        <patternFill>
          <bgColor rgb="FFFF6161"/>
        </patternFill>
      </fill>
    </dxf>
    <dxf>
      <fill>
        <patternFill>
          <bgColor theme="9" tint="0.79998168889431442"/>
        </patternFill>
      </fill>
    </dxf>
    <dxf>
      <fill>
        <patternFill>
          <bgColor rgb="FFFF6161"/>
        </patternFill>
      </fill>
    </dxf>
    <dxf>
      <fill>
        <patternFill>
          <bgColor rgb="FFFF6161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7093-8C79-4B27-BCCE-5D2AE8F4211A}">
  <dimension ref="A1:L334"/>
  <sheetViews>
    <sheetView tabSelected="1" workbookViewId="0">
      <selection activeCell="E14" sqref="E14"/>
    </sheetView>
  </sheetViews>
  <sheetFormatPr defaultRowHeight="15"/>
  <cols>
    <col min="1" max="1" width="14.5703125" style="2" customWidth="1"/>
    <col min="2" max="2" width="19" style="2" customWidth="1"/>
    <col min="3" max="3" width="20.140625" style="2" customWidth="1"/>
    <col min="4" max="4" width="18.42578125" style="2" customWidth="1"/>
    <col min="5" max="5" width="9.140625" style="2"/>
    <col min="6" max="6" width="14.5703125" style="2" customWidth="1"/>
    <col min="7" max="7" width="19" style="2" customWidth="1"/>
    <col min="8" max="8" width="20.140625" style="2" customWidth="1"/>
    <col min="9" max="9" width="18.42578125" style="2" customWidth="1"/>
    <col min="10" max="16384" width="9.140625" style="2"/>
  </cols>
  <sheetData>
    <row r="1" spans="1:9">
      <c r="B1" s="2" t="s">
        <v>0</v>
      </c>
      <c r="C1" s="2" t="s">
        <v>1</v>
      </c>
      <c r="D1" s="2" t="s">
        <v>2</v>
      </c>
    </row>
    <row r="2" spans="1:9">
      <c r="A2" s="14">
        <v>45657</v>
      </c>
      <c r="B2" s="2">
        <v>93714.04</v>
      </c>
      <c r="C2" s="4">
        <v>3346.4859999999999</v>
      </c>
      <c r="D2" s="4">
        <v>192.7235</v>
      </c>
      <c r="F2" s="14"/>
      <c r="H2" s="4"/>
      <c r="I2" s="4"/>
    </row>
    <row r="3" spans="1:9">
      <c r="A3" s="14">
        <v>45658</v>
      </c>
      <c r="B3" s="2">
        <v>94771.56</v>
      </c>
      <c r="C3" s="4">
        <v>3361.7359999999999</v>
      </c>
      <c r="D3" s="4">
        <v>194.2807</v>
      </c>
      <c r="F3" s="14"/>
      <c r="H3" s="4"/>
      <c r="I3" s="4"/>
    </row>
    <row r="4" spans="1:9">
      <c r="A4" s="14">
        <v>45659</v>
      </c>
      <c r="B4" s="2">
        <v>97123.79</v>
      </c>
      <c r="C4" s="4">
        <v>3451.3249999999998</v>
      </c>
      <c r="D4" s="4">
        <v>206.3485</v>
      </c>
      <c r="F4" s="14"/>
      <c r="H4" s="4"/>
      <c r="I4" s="4"/>
    </row>
    <row r="5" spans="1:9">
      <c r="A5" s="14">
        <v>45660</v>
      </c>
      <c r="B5" s="2">
        <v>98243.4</v>
      </c>
      <c r="C5" s="4">
        <v>3613.5830000000001</v>
      </c>
      <c r="D5" s="4">
        <v>216.26730000000001</v>
      </c>
      <c r="F5" s="14"/>
      <c r="H5" s="4"/>
      <c r="I5" s="4"/>
    </row>
    <row r="6" spans="1:9">
      <c r="A6" s="14">
        <v>45661</v>
      </c>
      <c r="B6" s="2">
        <v>98355.29</v>
      </c>
      <c r="C6" s="4">
        <v>3658.3150000000001</v>
      </c>
      <c r="D6" s="4">
        <v>215.99870000000001</v>
      </c>
      <c r="F6" s="14"/>
      <c r="H6" s="4"/>
      <c r="I6" s="4"/>
    </row>
    <row r="7" spans="1:9">
      <c r="A7" s="14">
        <v>45662</v>
      </c>
      <c r="B7" s="2">
        <v>98482.42</v>
      </c>
      <c r="C7" s="4">
        <v>3646.1669999999999</v>
      </c>
      <c r="D7" s="4">
        <v>213.86959999999999</v>
      </c>
      <c r="F7" s="14"/>
      <c r="H7" s="4"/>
      <c r="I7" s="4"/>
    </row>
    <row r="8" spans="1:9">
      <c r="A8" s="14">
        <v>45663</v>
      </c>
      <c r="B8" s="2">
        <v>101661.91</v>
      </c>
      <c r="C8" s="4">
        <v>3669.029</v>
      </c>
      <c r="D8" s="4">
        <v>217.95750000000001</v>
      </c>
      <c r="F8" s="14"/>
      <c r="H8" s="4"/>
      <c r="I8" s="4"/>
    </row>
    <row r="9" spans="1:9">
      <c r="A9" s="14">
        <v>45664</v>
      </c>
      <c r="B9" s="2">
        <v>96478.53</v>
      </c>
      <c r="C9" s="4">
        <v>3362.85</v>
      </c>
      <c r="D9" s="4">
        <v>202.12719999999999</v>
      </c>
      <c r="F9" s="14"/>
      <c r="H9" s="4"/>
      <c r="I9" s="4"/>
    </row>
    <row r="10" spans="1:9">
      <c r="A10" s="14">
        <v>45665</v>
      </c>
      <c r="B10" s="2">
        <v>94457.9</v>
      </c>
      <c r="C10" s="4">
        <v>3298.5219999999999</v>
      </c>
      <c r="D10" s="4">
        <v>195.06059999999999</v>
      </c>
      <c r="F10" s="14"/>
      <c r="H10" s="4"/>
      <c r="I10" s="4"/>
    </row>
    <row r="11" spans="1:9">
      <c r="A11" s="14">
        <v>45666</v>
      </c>
      <c r="B11" s="2">
        <v>92106.9</v>
      </c>
      <c r="C11" s="4">
        <v>3208.0250000000001</v>
      </c>
      <c r="D11" s="4">
        <v>184.827</v>
      </c>
      <c r="F11" s="14"/>
      <c r="H11" s="4"/>
      <c r="I11" s="4"/>
    </row>
    <row r="12" spans="1:9">
      <c r="A12" s="14">
        <v>45667</v>
      </c>
      <c r="B12" s="2">
        <v>94620.17</v>
      </c>
      <c r="C12" s="4">
        <v>3265.335</v>
      </c>
      <c r="D12" s="4">
        <v>187.8246</v>
      </c>
      <c r="F12" s="14"/>
      <c r="H12" s="4"/>
      <c r="I12" s="4"/>
    </row>
    <row r="13" spans="1:9">
      <c r="A13" s="14">
        <v>45668</v>
      </c>
      <c r="B13" s="2">
        <v>94907.03</v>
      </c>
      <c r="C13" s="2">
        <v>3306.39</v>
      </c>
      <c r="D13" s="2">
        <v>191.0412</v>
      </c>
      <c r="F13" s="14"/>
    </row>
    <row r="14" spans="1:9">
      <c r="A14" s="14">
        <v>45669</v>
      </c>
      <c r="B14" s="2">
        <v>94314.67</v>
      </c>
      <c r="C14" s="2">
        <v>3265.08</v>
      </c>
      <c r="D14" s="2">
        <v>188.39599999999999</v>
      </c>
      <c r="F14" s="14"/>
    </row>
    <row r="15" spans="1:9">
      <c r="A15" s="14">
        <v>45670</v>
      </c>
      <c r="B15" s="2">
        <v>94171.43</v>
      </c>
      <c r="C15" s="2">
        <v>3114.2</v>
      </c>
      <c r="D15" s="2">
        <v>181.8373</v>
      </c>
      <c r="F15" s="14"/>
    </row>
    <row r="16" spans="1:9">
      <c r="A16" s="14">
        <v>45671</v>
      </c>
      <c r="B16" s="2">
        <v>96434.37</v>
      </c>
      <c r="C16" s="2">
        <v>3214.5</v>
      </c>
      <c r="D16" s="2">
        <v>187.20959999999999</v>
      </c>
      <c r="F16" s="14"/>
    </row>
    <row r="17" spans="1:12">
      <c r="A17" s="14">
        <v>45672</v>
      </c>
      <c r="B17" s="2">
        <v>99678.9</v>
      </c>
      <c r="C17" s="2">
        <v>3433.14</v>
      </c>
      <c r="D17" s="2">
        <v>202.81800000000001</v>
      </c>
      <c r="E17" s="1"/>
      <c r="F17" s="14"/>
      <c r="J17" s="1"/>
      <c r="K17" s="1"/>
      <c r="L17" s="1"/>
    </row>
    <row r="18" spans="1:12">
      <c r="A18" s="14">
        <v>45673</v>
      </c>
      <c r="B18" s="2">
        <v>100135.61</v>
      </c>
      <c r="C18" s="2">
        <v>3319.125</v>
      </c>
      <c r="D18" s="2">
        <v>211.5498</v>
      </c>
      <c r="F18" s="14"/>
    </row>
    <row r="19" spans="1:12">
      <c r="A19" s="14">
        <v>45674</v>
      </c>
      <c r="B19" s="2">
        <v>104640.01</v>
      </c>
      <c r="C19" s="2">
        <v>3474.703</v>
      </c>
      <c r="D19" s="2">
        <v>218.465</v>
      </c>
      <c r="F19" s="14"/>
    </row>
    <row r="20" spans="1:12">
      <c r="A20" s="14">
        <v>45675</v>
      </c>
      <c r="B20" s="2">
        <v>103803.41</v>
      </c>
      <c r="C20" s="2">
        <v>3271.93</v>
      </c>
      <c r="D20" s="2">
        <v>252.37200000000001</v>
      </c>
      <c r="F20" s="14"/>
    </row>
    <row r="21" spans="1:12">
      <c r="A21" s="14">
        <v>45676</v>
      </c>
      <c r="B21" s="2">
        <v>103556.31</v>
      </c>
      <c r="C21" s="2">
        <v>3229.625</v>
      </c>
      <c r="D21" s="2">
        <v>255.1146</v>
      </c>
      <c r="F21" s="14"/>
    </row>
    <row r="22" spans="1:12">
      <c r="A22" s="14">
        <v>45677</v>
      </c>
      <c r="B22" s="2">
        <v>102494.61</v>
      </c>
      <c r="C22" s="2">
        <v>3281.72</v>
      </c>
      <c r="D22" s="2">
        <v>246.03980000000001</v>
      </c>
      <c r="F22" s="14"/>
    </row>
    <row r="23" spans="1:12">
      <c r="A23" s="14">
        <v>45678</v>
      </c>
      <c r="B23" s="2">
        <v>106788.72</v>
      </c>
      <c r="C23" s="2">
        <v>3332.49</v>
      </c>
      <c r="D23" s="2">
        <v>253.81030000000001</v>
      </c>
      <c r="F23" s="14"/>
    </row>
    <row r="24" spans="1:12">
      <c r="A24" s="14">
        <v>45679</v>
      </c>
      <c r="B24" s="2">
        <v>104071.31</v>
      </c>
      <c r="C24" s="2">
        <v>3258.502</v>
      </c>
      <c r="D24" s="2">
        <v>262.34609999999998</v>
      </c>
      <c r="F24" s="14"/>
    </row>
    <row r="25" spans="1:12">
      <c r="A25" s="14">
        <v>45680</v>
      </c>
      <c r="B25" s="2">
        <v>103131.11</v>
      </c>
      <c r="C25" s="2">
        <v>3249.22</v>
      </c>
      <c r="D25" s="2">
        <v>246.0489</v>
      </c>
      <c r="F25" s="14"/>
    </row>
    <row r="26" spans="1:12">
      <c r="A26" s="14">
        <v>45681</v>
      </c>
      <c r="B26" s="2">
        <v>105111.41</v>
      </c>
      <c r="C26" s="2">
        <v>3330.17</v>
      </c>
      <c r="D26" s="2">
        <v>257.6062</v>
      </c>
      <c r="F26" s="14"/>
    </row>
    <row r="27" spans="1:12">
      <c r="A27" s="14">
        <v>45682</v>
      </c>
      <c r="B27" s="2">
        <v>105075.31</v>
      </c>
      <c r="C27" s="2">
        <v>3339.35</v>
      </c>
      <c r="D27" s="2">
        <v>258.1395</v>
      </c>
      <c r="F27" s="14"/>
    </row>
    <row r="28" spans="1:12">
      <c r="A28" s="14">
        <v>45683</v>
      </c>
      <c r="B28" s="2">
        <v>104566.11</v>
      </c>
      <c r="C28" s="2">
        <v>3297</v>
      </c>
      <c r="D28" s="2">
        <v>249.21770000000001</v>
      </c>
      <c r="F28" s="14"/>
    </row>
    <row r="29" spans="1:12">
      <c r="A29" s="14">
        <v>45684</v>
      </c>
      <c r="B29" s="2">
        <v>101341.41</v>
      </c>
      <c r="C29" s="2">
        <v>3159</v>
      </c>
      <c r="D29" s="2">
        <v>233.91550000000001</v>
      </c>
      <c r="F29" s="14"/>
    </row>
    <row r="30" spans="1:12">
      <c r="A30" s="14">
        <v>45685</v>
      </c>
      <c r="B30" s="2">
        <v>100287.01</v>
      </c>
      <c r="C30" s="2">
        <v>3051.8229999999999</v>
      </c>
      <c r="D30" s="2">
        <v>225.61689999999999</v>
      </c>
      <c r="F30" s="14"/>
    </row>
    <row r="31" spans="1:12">
      <c r="A31" s="14">
        <v>45686</v>
      </c>
      <c r="B31" s="2">
        <v>103751.41</v>
      </c>
      <c r="C31" s="2">
        <v>3140.8229999999999</v>
      </c>
      <c r="D31" s="2">
        <v>234.7149</v>
      </c>
      <c r="F31" s="14"/>
    </row>
    <row r="32" spans="1:12">
      <c r="A32" s="14">
        <v>45687</v>
      </c>
      <c r="B32" s="2">
        <v>105059.41</v>
      </c>
      <c r="C32" s="2">
        <v>3245.0729999999999</v>
      </c>
      <c r="D32" s="2">
        <v>240.5318</v>
      </c>
      <c r="F32" s="14"/>
    </row>
    <row r="33" spans="1:6">
      <c r="A33" s="14">
        <v>45688</v>
      </c>
      <c r="B33" s="2">
        <v>102110.01</v>
      </c>
      <c r="C33" s="2">
        <v>3318.22</v>
      </c>
      <c r="D33" s="2">
        <v>230.1874</v>
      </c>
      <c r="F33" s="14"/>
    </row>
    <row r="34" spans="1:6">
      <c r="A34" s="14">
        <v>45689</v>
      </c>
      <c r="B34" s="2">
        <v>101190.91</v>
      </c>
      <c r="C34" s="2">
        <v>3149.5520000000001</v>
      </c>
      <c r="D34" s="2">
        <v>216.11449999999999</v>
      </c>
      <c r="F34" s="14"/>
    </row>
    <row r="35" spans="1:6">
      <c r="A35" s="14">
        <v>45690</v>
      </c>
      <c r="B35" s="2">
        <v>96996.87</v>
      </c>
      <c r="C35" s="2">
        <v>2907.0050000000001</v>
      </c>
      <c r="D35" s="2">
        <v>202.07550000000001</v>
      </c>
      <c r="F35" s="14"/>
    </row>
    <row r="36" spans="1:6">
      <c r="A36" s="14">
        <v>45691</v>
      </c>
      <c r="B36" s="2">
        <v>101934.81</v>
      </c>
      <c r="C36" s="2">
        <v>2818.83</v>
      </c>
      <c r="D36" s="2">
        <v>216.679</v>
      </c>
      <c r="F36" s="14"/>
    </row>
    <row r="37" spans="1:6">
      <c r="A37" s="14">
        <v>45692</v>
      </c>
      <c r="B37" s="2">
        <v>96530.36</v>
      </c>
      <c r="C37" s="2">
        <v>2640.0749999999998</v>
      </c>
      <c r="D37" s="2">
        <v>203.1825</v>
      </c>
      <c r="F37" s="14"/>
    </row>
    <row r="38" spans="1:6">
      <c r="A38" s="14">
        <v>45693</v>
      </c>
      <c r="B38" s="2">
        <v>96935.73</v>
      </c>
      <c r="C38" s="2">
        <v>2787.1550000000002</v>
      </c>
      <c r="D38" s="2">
        <v>198.85300000000001</v>
      </c>
      <c r="F38" s="14"/>
    </row>
    <row r="39" spans="1:6">
      <c r="A39" s="14">
        <v>45694</v>
      </c>
      <c r="B39" s="2">
        <v>96811.79</v>
      </c>
      <c r="C39" s="2">
        <v>2709.645</v>
      </c>
      <c r="D39" s="2">
        <v>193.98699999999999</v>
      </c>
      <c r="F39" s="14"/>
    </row>
    <row r="40" spans="1:6">
      <c r="A40" s="14">
        <v>45695</v>
      </c>
      <c r="B40" s="2">
        <v>96019.98</v>
      </c>
      <c r="C40" s="2">
        <v>2588.0079999999998</v>
      </c>
      <c r="D40" s="2">
        <v>189.51310000000001</v>
      </c>
      <c r="F40" s="14"/>
    </row>
    <row r="41" spans="1:6">
      <c r="A41" s="14">
        <v>45696</v>
      </c>
      <c r="B41" s="2">
        <v>96556.21</v>
      </c>
      <c r="C41" s="2">
        <v>2639.36</v>
      </c>
      <c r="D41" s="2">
        <v>198.8459</v>
      </c>
      <c r="F41" s="14"/>
    </row>
    <row r="42" spans="1:6">
      <c r="A42" s="14">
        <v>45697</v>
      </c>
      <c r="B42" s="2">
        <v>95224.76</v>
      </c>
      <c r="C42" s="2">
        <v>2553.38</v>
      </c>
      <c r="D42" s="2">
        <v>195.19839999999999</v>
      </c>
      <c r="F42" s="14"/>
    </row>
    <row r="43" spans="1:6">
      <c r="A43" s="14">
        <v>45698</v>
      </c>
      <c r="B43" s="2">
        <v>97402.99</v>
      </c>
      <c r="C43" s="2">
        <v>2664.7919999999999</v>
      </c>
      <c r="D43" s="2">
        <v>200.19659999999999</v>
      </c>
      <c r="F43" s="14"/>
    </row>
    <row r="44" spans="1:6">
      <c r="A44" s="14">
        <v>45699</v>
      </c>
      <c r="B44" s="2">
        <v>96376.21</v>
      </c>
      <c r="C44" s="2">
        <v>2622.2150000000001</v>
      </c>
      <c r="D44" s="2">
        <v>198.28460000000001</v>
      </c>
      <c r="F44" s="14"/>
    </row>
    <row r="45" spans="1:6">
      <c r="A45" s="14">
        <v>45700</v>
      </c>
      <c r="B45" s="2">
        <v>97663.11</v>
      </c>
      <c r="C45" s="2">
        <v>2683.05</v>
      </c>
      <c r="D45" s="2">
        <v>195.81559999999999</v>
      </c>
      <c r="F45" s="14"/>
    </row>
    <row r="46" spans="1:6">
      <c r="A46" s="14">
        <v>45701</v>
      </c>
      <c r="B46" s="2">
        <v>96491.67</v>
      </c>
      <c r="C46" s="2">
        <v>2667.4349999999999</v>
      </c>
      <c r="D46" s="2">
        <v>195.03819999999999</v>
      </c>
      <c r="F46" s="14"/>
    </row>
    <row r="47" spans="1:6">
      <c r="A47" s="14">
        <v>45702</v>
      </c>
      <c r="B47" s="2">
        <v>97503.15</v>
      </c>
      <c r="C47" s="2">
        <v>2744.86</v>
      </c>
      <c r="D47" s="2">
        <v>201.50980000000001</v>
      </c>
      <c r="F47" s="14"/>
    </row>
    <row r="48" spans="1:6">
      <c r="A48" s="14">
        <v>45703</v>
      </c>
      <c r="B48" s="2">
        <v>97689.24</v>
      </c>
      <c r="C48" s="2">
        <v>2701.2249999999999</v>
      </c>
      <c r="D48" s="2">
        <v>194.33949999999999</v>
      </c>
      <c r="F48" s="14"/>
    </row>
    <row r="49" spans="1:6">
      <c r="A49" s="14">
        <v>45704</v>
      </c>
      <c r="B49" s="2">
        <v>97188.39</v>
      </c>
      <c r="C49" s="2">
        <v>2687.5549999999998</v>
      </c>
      <c r="D49" s="2">
        <v>188.994</v>
      </c>
      <c r="F49" s="14"/>
    </row>
    <row r="50" spans="1:6">
      <c r="A50" s="14">
        <v>45705</v>
      </c>
      <c r="B50" s="2">
        <v>96417.79</v>
      </c>
      <c r="C50" s="2">
        <v>2776.88</v>
      </c>
      <c r="D50" s="2">
        <v>181.2209</v>
      </c>
      <c r="F50" s="14"/>
    </row>
    <row r="51" spans="1:6">
      <c r="A51" s="14">
        <v>45706</v>
      </c>
      <c r="B51" s="2">
        <v>95008.45</v>
      </c>
      <c r="C51" s="2">
        <v>2651.0770000000002</v>
      </c>
      <c r="D51" s="2">
        <v>167.58090000000001</v>
      </c>
      <c r="F51" s="14"/>
    </row>
    <row r="52" spans="1:6">
      <c r="A52" s="14">
        <v>45707</v>
      </c>
      <c r="B52" s="2">
        <v>96315.42</v>
      </c>
      <c r="C52" s="2">
        <v>2710.1950000000002</v>
      </c>
      <c r="D52" s="2">
        <v>166.91499999999999</v>
      </c>
      <c r="F52" s="14"/>
    </row>
    <row r="53" spans="1:6">
      <c r="A53" s="14">
        <v>45708</v>
      </c>
      <c r="B53" s="2">
        <v>98131.18</v>
      </c>
      <c r="C53" s="2">
        <v>2727.54</v>
      </c>
      <c r="D53" s="2">
        <v>173.49</v>
      </c>
      <c r="F53" s="14"/>
    </row>
    <row r="54" spans="1:6">
      <c r="A54" s="14">
        <v>45709</v>
      </c>
      <c r="B54" s="2">
        <v>95325.37</v>
      </c>
      <c r="C54" s="2">
        <v>2640.5949999999998</v>
      </c>
      <c r="D54" s="2">
        <v>168.07749999999999</v>
      </c>
      <c r="F54" s="14"/>
    </row>
    <row r="55" spans="1:6">
      <c r="A55" s="14">
        <v>45710</v>
      </c>
      <c r="B55" s="2">
        <v>96672.17</v>
      </c>
      <c r="C55" s="2">
        <v>2766.4070000000002</v>
      </c>
      <c r="D55" s="2">
        <v>173.0813</v>
      </c>
      <c r="F55" s="14"/>
    </row>
    <row r="56" spans="1:6">
      <c r="A56" s="14">
        <v>45711</v>
      </c>
      <c r="B56" s="2">
        <v>95769.24</v>
      </c>
      <c r="C56" s="2">
        <v>2808.18</v>
      </c>
      <c r="D56" s="2">
        <v>168.06610000000001</v>
      </c>
      <c r="F56" s="14"/>
    </row>
    <row r="57" spans="1:6">
      <c r="A57" s="14">
        <v>45712</v>
      </c>
      <c r="B57" s="2">
        <v>93957.79</v>
      </c>
      <c r="C57" s="2">
        <v>2636.4</v>
      </c>
      <c r="D57" s="2">
        <v>150.08150000000001</v>
      </c>
      <c r="F57" s="14"/>
    </row>
    <row r="58" spans="1:6">
      <c r="A58" s="14">
        <v>45713</v>
      </c>
      <c r="B58" s="2">
        <v>88701.92</v>
      </c>
      <c r="C58" s="2">
        <v>2511.5949999999998</v>
      </c>
      <c r="D58" s="2">
        <v>145.7216</v>
      </c>
      <c r="F58" s="14"/>
    </row>
    <row r="59" spans="1:6">
      <c r="A59" s="14">
        <v>45714</v>
      </c>
      <c r="B59" s="2">
        <v>84470.18</v>
      </c>
      <c r="C59" s="2">
        <v>2340.643</v>
      </c>
      <c r="D59" s="2">
        <v>135.9751</v>
      </c>
      <c r="F59" s="14"/>
    </row>
    <row r="60" spans="1:6">
      <c r="A60" s="14">
        <v>45715</v>
      </c>
      <c r="B60" s="2">
        <v>84285.18</v>
      </c>
      <c r="C60" s="2">
        <v>2279.62</v>
      </c>
      <c r="D60" s="2">
        <v>137.22540000000001</v>
      </c>
      <c r="F60" s="14"/>
    </row>
    <row r="61" spans="1:6">
      <c r="A61" s="14">
        <v>45716</v>
      </c>
      <c r="B61" s="2">
        <v>84212.07</v>
      </c>
      <c r="C61" s="2">
        <v>2224.0079999999998</v>
      </c>
      <c r="D61" s="2">
        <v>147.67179999999999</v>
      </c>
      <c r="F61" s="14"/>
    </row>
    <row r="62" spans="1:6">
      <c r="A62" s="14">
        <v>45717</v>
      </c>
      <c r="B62" s="2">
        <v>86047.76</v>
      </c>
      <c r="C62" s="2">
        <v>2228.7719999999999</v>
      </c>
      <c r="D62" s="2">
        <v>142.6848</v>
      </c>
      <c r="F62" s="14"/>
    </row>
    <row r="63" spans="1:6">
      <c r="A63" s="14">
        <v>45718</v>
      </c>
      <c r="B63" s="2">
        <v>94297.71</v>
      </c>
      <c r="C63" s="2">
        <v>2526</v>
      </c>
      <c r="D63" s="2">
        <v>175.51320000000001</v>
      </c>
      <c r="F63" s="14"/>
    </row>
    <row r="64" spans="1:6">
      <c r="A64" s="14">
        <v>45719</v>
      </c>
      <c r="B64" s="2">
        <v>85314.51</v>
      </c>
      <c r="C64" s="2">
        <v>2110.125</v>
      </c>
      <c r="D64" s="2">
        <v>139.7448</v>
      </c>
      <c r="F64" s="14"/>
    </row>
    <row r="65" spans="1:6">
      <c r="A65" s="14">
        <v>45720</v>
      </c>
      <c r="B65" s="2">
        <v>87499.37</v>
      </c>
      <c r="C65" s="2">
        <v>2178.0500000000002</v>
      </c>
      <c r="D65" s="2">
        <v>145.5934</v>
      </c>
      <c r="F65" s="14"/>
    </row>
    <row r="66" spans="1:6">
      <c r="A66" s="14">
        <v>45721</v>
      </c>
      <c r="B66" s="2">
        <v>90375.01</v>
      </c>
      <c r="C66" s="2">
        <v>2235.7620000000002</v>
      </c>
      <c r="D66" s="2">
        <v>145.0624</v>
      </c>
      <c r="F66" s="14"/>
    </row>
    <row r="67" spans="1:6">
      <c r="A67" s="14">
        <v>45722</v>
      </c>
      <c r="B67" s="2">
        <v>89842.68</v>
      </c>
      <c r="C67" s="2">
        <v>2213.5349999999999</v>
      </c>
      <c r="D67" s="2">
        <v>144.35929999999999</v>
      </c>
      <c r="F67" s="14"/>
    </row>
    <row r="68" spans="1:6">
      <c r="A68" s="14">
        <v>45723</v>
      </c>
      <c r="B68" s="2">
        <v>86282.15</v>
      </c>
      <c r="C68" s="2">
        <v>2138.75</v>
      </c>
      <c r="D68" s="2">
        <v>142.70070000000001</v>
      </c>
      <c r="F68" s="14"/>
    </row>
    <row r="69" spans="1:6">
      <c r="A69" s="14">
        <v>45724</v>
      </c>
      <c r="B69" s="2">
        <v>86210.62</v>
      </c>
      <c r="C69" s="2">
        <v>2215.6849999999999</v>
      </c>
      <c r="D69" s="2">
        <v>137.31450000000001</v>
      </c>
      <c r="F69" s="14"/>
    </row>
    <row r="70" spans="1:6">
      <c r="A70" s="14">
        <v>45725</v>
      </c>
      <c r="B70" s="2">
        <v>83081.539999999994</v>
      </c>
      <c r="C70" s="2">
        <v>2047.3969999999999</v>
      </c>
      <c r="D70" s="2">
        <v>128.38290000000001</v>
      </c>
      <c r="F70" s="14"/>
    </row>
    <row r="71" spans="1:6">
      <c r="A71" s="14">
        <v>45726</v>
      </c>
      <c r="B71" s="2">
        <v>79272.09</v>
      </c>
      <c r="C71" s="2">
        <v>1868.153</v>
      </c>
      <c r="D71" s="2">
        <v>118.7157</v>
      </c>
      <c r="F71" s="14"/>
    </row>
    <row r="72" spans="1:6">
      <c r="A72" s="14">
        <v>45727</v>
      </c>
      <c r="B72" s="2">
        <v>82785.570000000007</v>
      </c>
      <c r="C72" s="2">
        <v>1936.54</v>
      </c>
      <c r="D72" s="2">
        <v>126.5685</v>
      </c>
      <c r="F72" s="14"/>
    </row>
    <row r="73" spans="1:6">
      <c r="A73" s="14">
        <v>45728</v>
      </c>
      <c r="B73" s="2">
        <v>83107.009999999995</v>
      </c>
      <c r="C73" s="2">
        <v>1891.415</v>
      </c>
      <c r="D73" s="2">
        <v>125.1515</v>
      </c>
      <c r="F73" s="14"/>
    </row>
    <row r="74" spans="1:6">
      <c r="A74" s="14">
        <v>45729</v>
      </c>
      <c r="B74" s="2">
        <v>80323.17</v>
      </c>
      <c r="C74" s="2">
        <v>1841.93</v>
      </c>
      <c r="D74" s="2">
        <v>121.4284</v>
      </c>
      <c r="F74" s="14"/>
    </row>
    <row r="75" spans="1:6">
      <c r="A75" s="14">
        <v>45730</v>
      </c>
      <c r="B75" s="2">
        <v>84154.04</v>
      </c>
      <c r="C75" s="2">
        <v>1925.383</v>
      </c>
      <c r="D75" s="2">
        <v>134.27289999999999</v>
      </c>
      <c r="F75" s="14"/>
    </row>
    <row r="76" spans="1:6">
      <c r="A76" s="14">
        <v>45731</v>
      </c>
      <c r="B76" s="2">
        <v>84395.01</v>
      </c>
      <c r="C76" s="2">
        <v>1943.915</v>
      </c>
      <c r="D76" s="2">
        <v>135.4425</v>
      </c>
      <c r="F76" s="14"/>
    </row>
    <row r="77" spans="1:6">
      <c r="A77" s="14">
        <v>45732</v>
      </c>
      <c r="B77" s="2">
        <v>83217.73</v>
      </c>
      <c r="C77" s="2">
        <v>1894.7919999999999</v>
      </c>
      <c r="D77" s="2">
        <v>127.1418</v>
      </c>
      <c r="F77" s="14"/>
    </row>
    <row r="78" spans="1:6">
      <c r="A78" s="14">
        <v>45733</v>
      </c>
      <c r="B78" s="2">
        <v>83958.01</v>
      </c>
      <c r="C78" s="2">
        <v>1935.175</v>
      </c>
      <c r="D78" s="2">
        <v>128.78120000000001</v>
      </c>
      <c r="F78" s="14"/>
    </row>
    <row r="79" spans="1:6">
      <c r="A79" s="14">
        <v>45734</v>
      </c>
      <c r="B79" s="2">
        <v>82031.45</v>
      </c>
      <c r="C79" s="2">
        <v>1905.8050000000001</v>
      </c>
      <c r="D79" s="2">
        <v>124.045</v>
      </c>
      <c r="F79" s="14"/>
    </row>
    <row r="80" spans="1:6">
      <c r="A80" s="14">
        <v>45735</v>
      </c>
      <c r="B80" s="2">
        <v>85377.85</v>
      </c>
      <c r="C80" s="2">
        <v>2034.55</v>
      </c>
      <c r="D80" s="2">
        <v>133.97929999999999</v>
      </c>
      <c r="F80" s="14"/>
    </row>
    <row r="81" spans="1:6">
      <c r="A81" s="14">
        <v>45736</v>
      </c>
      <c r="B81" s="2">
        <v>84504.07</v>
      </c>
      <c r="C81" s="2">
        <v>1979.203</v>
      </c>
      <c r="D81" s="2">
        <v>128.00219999999999</v>
      </c>
      <c r="F81" s="14"/>
    </row>
    <row r="82" spans="1:6">
      <c r="A82" s="14">
        <v>45737</v>
      </c>
      <c r="B82" s="2">
        <v>84183.37</v>
      </c>
      <c r="C82" s="2">
        <v>1974.14</v>
      </c>
      <c r="D82" s="2">
        <v>128.44919999999999</v>
      </c>
      <c r="F82" s="14"/>
    </row>
    <row r="83" spans="1:6">
      <c r="A83" s="14">
        <v>45738</v>
      </c>
      <c r="B83" s="2">
        <v>83945.35</v>
      </c>
      <c r="C83" s="2">
        <v>1993.38</v>
      </c>
      <c r="D83" s="2">
        <v>129.13339999999999</v>
      </c>
      <c r="F83" s="14"/>
    </row>
    <row r="84" spans="1:6">
      <c r="A84" s="14">
        <v>45739</v>
      </c>
      <c r="B84" s="2">
        <v>85121.57</v>
      </c>
      <c r="C84" s="2">
        <v>1992.502</v>
      </c>
      <c r="D84" s="2">
        <v>130.63380000000001</v>
      </c>
      <c r="F84" s="14"/>
    </row>
    <row r="85" spans="1:6">
      <c r="A85" s="14">
        <v>45740</v>
      </c>
      <c r="B85" s="2">
        <v>87879.82</v>
      </c>
      <c r="C85" s="2">
        <v>2085.8429999999998</v>
      </c>
      <c r="D85" s="2">
        <v>141.8646</v>
      </c>
      <c r="F85" s="14"/>
    </row>
    <row r="86" spans="1:6">
      <c r="A86" s="14">
        <v>45741</v>
      </c>
      <c r="B86" s="2">
        <v>87897.82</v>
      </c>
      <c r="C86" s="2">
        <v>2065.5419999999999</v>
      </c>
      <c r="D86" s="2">
        <v>144.60400000000001</v>
      </c>
      <c r="F86" s="14"/>
    </row>
    <row r="87" spans="1:6">
      <c r="A87" s="14">
        <v>45742</v>
      </c>
      <c r="B87" s="2">
        <v>87286.31</v>
      </c>
      <c r="C87" s="2">
        <v>2010.75</v>
      </c>
      <c r="D87" s="2">
        <v>137.9813</v>
      </c>
      <c r="F87" s="14"/>
    </row>
    <row r="88" spans="1:6">
      <c r="A88" s="14">
        <v>45743</v>
      </c>
      <c r="B88" s="2">
        <v>87309.14</v>
      </c>
      <c r="C88" s="2">
        <v>2007.2650000000001</v>
      </c>
      <c r="D88" s="2">
        <v>139.12450000000001</v>
      </c>
      <c r="F88" s="14"/>
    </row>
    <row r="89" spans="1:6">
      <c r="A89" s="14">
        <v>45744</v>
      </c>
      <c r="B89" s="2">
        <v>83758.98</v>
      </c>
      <c r="C89" s="2">
        <v>1876.13</v>
      </c>
      <c r="D89" s="2">
        <v>128.2818</v>
      </c>
      <c r="F89" s="14"/>
    </row>
    <row r="90" spans="1:6">
      <c r="A90" s="14">
        <v>45745</v>
      </c>
      <c r="B90" s="2">
        <v>82485.149999999994</v>
      </c>
      <c r="C90" s="2">
        <v>1817.23</v>
      </c>
      <c r="D90" s="2">
        <v>123.9897</v>
      </c>
      <c r="F90" s="14"/>
    </row>
    <row r="91" spans="1:6">
      <c r="A91" s="14">
        <v>45746</v>
      </c>
      <c r="B91" s="2">
        <v>82531.17</v>
      </c>
      <c r="C91" s="2">
        <v>1814.528</v>
      </c>
      <c r="D91" s="2">
        <v>125.33580000000001</v>
      </c>
      <c r="F91" s="14"/>
    </row>
    <row r="92" spans="1:6">
      <c r="A92" s="14">
        <v>45747</v>
      </c>
      <c r="B92" s="2">
        <v>82421.289999999994</v>
      </c>
      <c r="C92" s="2">
        <v>1819.57</v>
      </c>
      <c r="D92" s="2">
        <v>125.419</v>
      </c>
      <c r="F92" s="14"/>
    </row>
    <row r="93" spans="1:6">
      <c r="A93" s="14">
        <v>45748</v>
      </c>
      <c r="B93" s="2">
        <v>85243.64</v>
      </c>
      <c r="C93" s="2">
        <v>1913.12</v>
      </c>
      <c r="D93" s="2">
        <v>126.4485</v>
      </c>
      <c r="F93" s="14"/>
    </row>
    <row r="94" spans="1:6">
      <c r="A94" s="14">
        <v>45749</v>
      </c>
      <c r="B94" s="2">
        <v>85653.54</v>
      </c>
      <c r="C94" s="2">
        <v>1881.425</v>
      </c>
      <c r="D94" s="2">
        <v>128.012</v>
      </c>
      <c r="F94" s="14"/>
    </row>
    <row r="95" spans="1:6">
      <c r="A95" s="14">
        <v>45750</v>
      </c>
      <c r="B95" s="2">
        <v>82315.850000000006</v>
      </c>
      <c r="C95" s="2">
        <v>1798.0129999999999</v>
      </c>
      <c r="D95" s="2">
        <v>116.211</v>
      </c>
      <c r="F95" s="14"/>
    </row>
    <row r="96" spans="1:6">
      <c r="A96" s="14">
        <v>45751</v>
      </c>
      <c r="B96" s="2">
        <v>84129.73</v>
      </c>
      <c r="C96" s="2">
        <v>1818.1669999999999</v>
      </c>
      <c r="D96" s="2">
        <v>123.34</v>
      </c>
      <c r="F96" s="14"/>
    </row>
    <row r="97" spans="1:6">
      <c r="A97" s="14">
        <v>45752</v>
      </c>
      <c r="B97" s="2">
        <v>83044.570000000007</v>
      </c>
      <c r="C97" s="2">
        <v>1789.818</v>
      </c>
      <c r="D97" s="2">
        <v>119.20050000000001</v>
      </c>
      <c r="F97" s="14"/>
    </row>
    <row r="98" spans="1:6">
      <c r="A98" s="14">
        <v>45753</v>
      </c>
      <c r="B98" s="2">
        <v>78807.929999999993</v>
      </c>
      <c r="C98" s="2">
        <v>1574.1320000000001</v>
      </c>
      <c r="D98" s="2">
        <v>106.47450000000001</v>
      </c>
      <c r="F98" s="14"/>
    </row>
    <row r="99" spans="1:6">
      <c r="A99" s="14">
        <v>45754</v>
      </c>
      <c r="B99" s="2">
        <v>78923.14</v>
      </c>
      <c r="C99" s="2">
        <v>1570.15</v>
      </c>
      <c r="D99" s="2">
        <v>107.34350000000001</v>
      </c>
      <c r="F99" s="14"/>
    </row>
    <row r="100" spans="1:6">
      <c r="A100" s="14">
        <v>45755</v>
      </c>
      <c r="B100" s="2">
        <v>77052.89</v>
      </c>
      <c r="C100" s="2">
        <v>1480.4069999999999</v>
      </c>
      <c r="D100" s="2">
        <v>105.90949999999999</v>
      </c>
      <c r="F100" s="14"/>
    </row>
    <row r="101" spans="1:6">
      <c r="A101" s="14">
        <v>45756</v>
      </c>
      <c r="B101" s="2">
        <v>83173.759999999995</v>
      </c>
      <c r="C101" s="2">
        <v>1673.068</v>
      </c>
      <c r="D101" s="2">
        <v>120.04349999999999</v>
      </c>
      <c r="F101" s="14"/>
    </row>
    <row r="102" spans="1:6">
      <c r="A102" s="14">
        <v>45757</v>
      </c>
      <c r="B102" s="2">
        <v>79879.179999999993</v>
      </c>
      <c r="C102" s="2">
        <v>1529.9880000000001</v>
      </c>
      <c r="D102" s="2">
        <v>112.7445</v>
      </c>
      <c r="F102" s="14"/>
    </row>
    <row r="103" spans="1:6">
      <c r="A103" s="14">
        <v>45758</v>
      </c>
      <c r="B103" s="2">
        <v>83820.600000000006</v>
      </c>
      <c r="C103" s="2">
        <v>1571.0319999999999</v>
      </c>
      <c r="D103" s="2">
        <v>121.5745</v>
      </c>
      <c r="F103" s="14"/>
    </row>
    <row r="104" spans="1:6">
      <c r="A104" s="14">
        <v>45759</v>
      </c>
      <c r="B104" s="2">
        <v>85502.31</v>
      </c>
      <c r="C104" s="2">
        <v>1648.93</v>
      </c>
      <c r="D104" s="2">
        <v>132.75700000000001</v>
      </c>
      <c r="F104" s="14"/>
    </row>
    <row r="105" spans="1:6">
      <c r="A105" s="14">
        <v>45760</v>
      </c>
      <c r="B105" s="2">
        <v>83479.149999999994</v>
      </c>
      <c r="C105" s="2">
        <v>1590.482</v>
      </c>
      <c r="D105" s="2">
        <v>126.688</v>
      </c>
      <c r="F105" s="14"/>
    </row>
    <row r="106" spans="1:6">
      <c r="A106" s="14">
        <v>45761</v>
      </c>
      <c r="B106" s="2">
        <v>84848.06</v>
      </c>
      <c r="C106" s="2">
        <v>1634.96</v>
      </c>
      <c r="D106" s="2">
        <v>130.1815</v>
      </c>
      <c r="F106" s="14"/>
    </row>
    <row r="107" spans="1:6">
      <c r="A107" s="14">
        <v>45762</v>
      </c>
      <c r="B107" s="2">
        <v>84016.48</v>
      </c>
      <c r="C107" s="2">
        <v>1594.808</v>
      </c>
      <c r="D107" s="2">
        <v>127.709</v>
      </c>
      <c r="F107" s="14"/>
    </row>
    <row r="108" spans="1:6">
      <c r="A108" s="14">
        <v>45763</v>
      </c>
      <c r="B108" s="2">
        <v>84308.09</v>
      </c>
      <c r="C108" s="2">
        <v>1573.575</v>
      </c>
      <c r="D108" s="2">
        <v>131.65</v>
      </c>
      <c r="F108" s="14"/>
    </row>
    <row r="109" spans="1:6">
      <c r="A109" s="14">
        <v>45764</v>
      </c>
      <c r="B109" s="2">
        <v>85139.14</v>
      </c>
      <c r="C109" s="2">
        <v>1584.25</v>
      </c>
      <c r="D109" s="2">
        <v>134.8683</v>
      </c>
      <c r="F109" s="14"/>
    </row>
    <row r="110" spans="1:6">
      <c r="A110" s="14">
        <v>45765</v>
      </c>
      <c r="B110" s="2">
        <v>84501.93</v>
      </c>
      <c r="C110" s="2">
        <v>1593.0319999999999</v>
      </c>
      <c r="D110" s="2">
        <v>134.04069999999999</v>
      </c>
      <c r="F110" s="14"/>
    </row>
    <row r="111" spans="1:6">
      <c r="A111" s="14">
        <v>45766</v>
      </c>
      <c r="B111" s="2">
        <v>85185.43</v>
      </c>
      <c r="C111" s="2">
        <v>1613.675</v>
      </c>
      <c r="D111" s="2">
        <v>138.7801</v>
      </c>
      <c r="F111" s="14"/>
    </row>
    <row r="112" spans="1:6">
      <c r="A112" s="14">
        <v>45767</v>
      </c>
      <c r="B112" s="2">
        <v>85110.53</v>
      </c>
      <c r="C112" s="2">
        <v>1589.3430000000001</v>
      </c>
      <c r="D112" s="2">
        <v>137.20760000000001</v>
      </c>
      <c r="F112" s="14"/>
    </row>
    <row r="113" spans="1:6">
      <c r="A113" s="14">
        <v>45768</v>
      </c>
      <c r="B113" s="2">
        <v>87354.6</v>
      </c>
      <c r="C113" s="2">
        <v>1577.42</v>
      </c>
      <c r="D113" s="2">
        <v>137.17750000000001</v>
      </c>
      <c r="F113" s="14"/>
    </row>
    <row r="114" spans="1:6">
      <c r="A114" s="14">
        <v>45769</v>
      </c>
      <c r="B114" s="2">
        <v>91177.46</v>
      </c>
      <c r="C114" s="2">
        <v>1696.1369999999999</v>
      </c>
      <c r="D114" s="2">
        <v>144.56100000000001</v>
      </c>
      <c r="F114" s="14"/>
    </row>
    <row r="115" spans="1:6">
      <c r="A115" s="14">
        <v>45770</v>
      </c>
      <c r="B115" s="2">
        <v>93686.03</v>
      </c>
      <c r="C115" s="2">
        <v>1796.2819999999999</v>
      </c>
      <c r="D115" s="2">
        <v>150.99850000000001</v>
      </c>
      <c r="F115" s="14"/>
    </row>
    <row r="116" spans="1:6">
      <c r="A116" s="14">
        <v>45771</v>
      </c>
      <c r="B116" s="2">
        <v>93454.23</v>
      </c>
      <c r="C116" s="2">
        <v>1763.0319999999999</v>
      </c>
      <c r="D116" s="2">
        <v>151.30699999999999</v>
      </c>
      <c r="F116" s="14"/>
    </row>
    <row r="117" spans="1:6">
      <c r="A117" s="14">
        <v>45772</v>
      </c>
      <c r="B117" s="2">
        <v>94966.87</v>
      </c>
      <c r="C117" s="2">
        <v>1799.92</v>
      </c>
      <c r="D117" s="2">
        <v>151.87049999999999</v>
      </c>
      <c r="F117" s="14"/>
    </row>
    <row r="118" spans="1:6">
      <c r="A118" s="14">
        <v>45773</v>
      </c>
      <c r="B118" s="2">
        <v>94148.9</v>
      </c>
      <c r="C118" s="2">
        <v>1806.575</v>
      </c>
      <c r="D118" s="2">
        <v>148.4195</v>
      </c>
      <c r="F118" s="14"/>
    </row>
    <row r="119" spans="1:6">
      <c r="A119" s="14">
        <v>45774</v>
      </c>
      <c r="B119" s="2">
        <v>94300.98</v>
      </c>
      <c r="C119" s="2">
        <v>1803.078</v>
      </c>
      <c r="D119" s="2">
        <v>148.78749999999999</v>
      </c>
      <c r="F119" s="14"/>
    </row>
    <row r="120" spans="1:6">
      <c r="A120" s="14">
        <v>45775</v>
      </c>
      <c r="B120" s="2">
        <v>94506.03</v>
      </c>
      <c r="C120" s="2">
        <v>1786.6669999999999</v>
      </c>
      <c r="D120" s="2">
        <v>147.05000000000001</v>
      </c>
      <c r="F120" s="14"/>
    </row>
    <row r="121" spans="1:6">
      <c r="A121" s="14">
        <v>45776</v>
      </c>
      <c r="B121" s="2">
        <v>94873.95</v>
      </c>
      <c r="C121" s="2">
        <v>1809.405</v>
      </c>
      <c r="D121" s="2">
        <v>148.62450000000001</v>
      </c>
      <c r="F121" s="14"/>
    </row>
    <row r="122" spans="1:6">
      <c r="A122" s="14">
        <v>45777</v>
      </c>
      <c r="B122" s="2">
        <v>94581.18</v>
      </c>
      <c r="C122" s="2">
        <v>1794.6980000000001</v>
      </c>
      <c r="D122" s="2">
        <v>147.04499999999999</v>
      </c>
      <c r="F122" s="14"/>
    </row>
    <row r="123" spans="1:6">
      <c r="A123" s="14">
        <v>45778</v>
      </c>
      <c r="B123" s="2">
        <v>96463.2</v>
      </c>
      <c r="C123" s="2">
        <v>1840.2080000000001</v>
      </c>
      <c r="D123" s="2">
        <v>150.26949999999999</v>
      </c>
      <c r="F123" s="14"/>
    </row>
    <row r="124" spans="1:6">
      <c r="A124" s="14">
        <v>45779</v>
      </c>
      <c r="B124" s="2">
        <v>97063.65</v>
      </c>
      <c r="C124" s="2">
        <v>1847.537</v>
      </c>
      <c r="D124" s="2">
        <v>148.34800000000001</v>
      </c>
      <c r="F124" s="14"/>
    </row>
    <row r="125" spans="1:6">
      <c r="A125" s="14">
        <v>45780</v>
      </c>
      <c r="B125" s="2">
        <v>96360.14</v>
      </c>
      <c r="C125" s="2">
        <v>1839.252</v>
      </c>
      <c r="D125" s="2">
        <v>147.5538</v>
      </c>
      <c r="F125" s="14"/>
    </row>
    <row r="126" spans="1:6">
      <c r="A126" s="14">
        <v>45781</v>
      </c>
      <c r="B126" s="2">
        <v>95732.26</v>
      </c>
      <c r="C126" s="2">
        <v>1836.4349999999999</v>
      </c>
      <c r="D126" s="2">
        <v>147.0198</v>
      </c>
      <c r="F126" s="14"/>
    </row>
    <row r="127" spans="1:6">
      <c r="A127" s="14">
        <v>45782</v>
      </c>
      <c r="B127" s="2">
        <v>94240.37</v>
      </c>
      <c r="C127" s="2">
        <v>1809.0930000000001</v>
      </c>
      <c r="D127" s="2">
        <v>145.57579999999999</v>
      </c>
      <c r="F127" s="14"/>
    </row>
    <row r="128" spans="1:6">
      <c r="A128" s="14">
        <v>45783</v>
      </c>
      <c r="B128" s="2">
        <v>94701.79</v>
      </c>
      <c r="C128" s="2">
        <v>1775.4</v>
      </c>
      <c r="D128" s="2">
        <v>144.0231</v>
      </c>
      <c r="F128" s="14"/>
    </row>
    <row r="129" spans="1:6">
      <c r="A129" s="14">
        <v>45784</v>
      </c>
      <c r="B129" s="2">
        <v>96794.09</v>
      </c>
      <c r="C129" s="2">
        <v>1798.48</v>
      </c>
      <c r="D129" s="2">
        <v>146.37389999999999</v>
      </c>
      <c r="F129" s="14"/>
    </row>
    <row r="130" spans="1:6">
      <c r="A130" s="14">
        <v>45785</v>
      </c>
      <c r="B130" s="2">
        <v>102616.61</v>
      </c>
      <c r="C130" s="2">
        <v>2185.58</v>
      </c>
      <c r="D130" s="2">
        <v>162.8365</v>
      </c>
      <c r="F130" s="14"/>
    </row>
    <row r="131" spans="1:6">
      <c r="A131" s="14">
        <v>45786</v>
      </c>
      <c r="B131" s="2">
        <v>103195.81</v>
      </c>
      <c r="C131" s="2">
        <v>2340.4299999999998</v>
      </c>
      <c r="D131" s="2">
        <v>172.96899999999999</v>
      </c>
      <c r="F131" s="14"/>
    </row>
    <row r="132" spans="1:6">
      <c r="A132" s="14">
        <v>45787</v>
      </c>
      <c r="B132" s="2">
        <v>103195.01</v>
      </c>
      <c r="C132" s="2">
        <v>2491</v>
      </c>
      <c r="D132" s="2">
        <v>172.65170000000001</v>
      </c>
      <c r="F132" s="14"/>
    </row>
    <row r="133" spans="1:6">
      <c r="A133" s="14">
        <v>45788</v>
      </c>
      <c r="B133" s="2">
        <v>104297.01</v>
      </c>
      <c r="C133" s="2">
        <v>2510.4650000000001</v>
      </c>
      <c r="D133" s="2">
        <v>172.39500000000001</v>
      </c>
      <c r="F133" s="14"/>
    </row>
    <row r="134" spans="1:6">
      <c r="A134" s="14">
        <v>45789</v>
      </c>
      <c r="B134" s="2">
        <v>102693.31</v>
      </c>
      <c r="C134" s="2">
        <v>2485.9</v>
      </c>
      <c r="D134" s="2">
        <v>172.3125</v>
      </c>
      <c r="F134" s="14"/>
    </row>
    <row r="135" spans="1:6">
      <c r="A135" s="14">
        <v>45790</v>
      </c>
      <c r="B135" s="2">
        <v>104599.51</v>
      </c>
      <c r="C135" s="2">
        <v>2690.085</v>
      </c>
      <c r="D135" s="2">
        <v>183.17250000000001</v>
      </c>
      <c r="F135" s="14"/>
    </row>
    <row r="136" spans="1:6">
      <c r="A136" s="14">
        <v>45791</v>
      </c>
      <c r="B136" s="2">
        <v>103573.61</v>
      </c>
      <c r="C136" s="2">
        <v>2600.25</v>
      </c>
      <c r="D136" s="2">
        <v>176.845</v>
      </c>
      <c r="F136" s="14"/>
    </row>
    <row r="137" spans="1:6">
      <c r="A137" s="14">
        <v>45792</v>
      </c>
      <c r="B137" s="2">
        <v>103463.61</v>
      </c>
      <c r="C137" s="2">
        <v>2537.627</v>
      </c>
      <c r="D137" s="2">
        <v>169.66399999999999</v>
      </c>
      <c r="F137" s="14"/>
    </row>
    <row r="138" spans="1:6">
      <c r="A138" s="14">
        <v>45793</v>
      </c>
      <c r="B138" s="2">
        <v>103712.31</v>
      </c>
      <c r="C138" s="2">
        <v>2571.09</v>
      </c>
      <c r="D138" s="2">
        <v>169.6087</v>
      </c>
      <c r="F138" s="14"/>
    </row>
    <row r="139" spans="1:6">
      <c r="A139" s="14">
        <v>45794</v>
      </c>
      <c r="B139" s="2">
        <v>103406.01</v>
      </c>
      <c r="C139" s="2">
        <v>2489.7249999999999</v>
      </c>
      <c r="D139" s="2">
        <v>167.52199999999999</v>
      </c>
      <c r="F139" s="14"/>
    </row>
    <row r="140" spans="1:6">
      <c r="A140" s="14">
        <v>45795</v>
      </c>
      <c r="B140" s="2">
        <v>104106.91</v>
      </c>
      <c r="C140" s="2">
        <v>2394.6750000000002</v>
      </c>
      <c r="D140" s="2">
        <v>167.1962</v>
      </c>
      <c r="F140" s="14"/>
    </row>
    <row r="141" spans="1:6">
      <c r="A141" s="14">
        <v>45796</v>
      </c>
      <c r="B141" s="2">
        <v>105485.91</v>
      </c>
      <c r="C141" s="2">
        <v>2520.9349999999999</v>
      </c>
      <c r="D141" s="2">
        <v>165.922</v>
      </c>
      <c r="F141" s="14"/>
    </row>
    <row r="142" spans="1:6">
      <c r="A142" s="14">
        <v>45797</v>
      </c>
      <c r="B142" s="2">
        <v>106953.22</v>
      </c>
      <c r="C142" s="2">
        <v>2514.335</v>
      </c>
      <c r="D142" s="2">
        <v>168.46899999999999</v>
      </c>
      <c r="F142" s="14"/>
    </row>
    <row r="143" spans="1:6">
      <c r="A143" s="14">
        <v>45798</v>
      </c>
      <c r="B143" s="2">
        <v>108282.41</v>
      </c>
      <c r="C143" s="2">
        <v>2509.6149999999998</v>
      </c>
      <c r="D143" s="2">
        <v>169.73500000000001</v>
      </c>
      <c r="F143" s="14"/>
    </row>
    <row r="144" spans="1:6">
      <c r="A144" s="14">
        <v>45799</v>
      </c>
      <c r="B144" s="2">
        <v>111092.22</v>
      </c>
      <c r="C144" s="2">
        <v>2641.502</v>
      </c>
      <c r="D144" s="2">
        <v>178.5361</v>
      </c>
      <c r="F144" s="14"/>
    </row>
    <row r="145" spans="1:6">
      <c r="A145" s="14">
        <v>45800</v>
      </c>
      <c r="B145" s="2">
        <v>108261.31</v>
      </c>
      <c r="C145" s="2">
        <v>2543.3530000000001</v>
      </c>
      <c r="D145" s="2">
        <v>177.22970000000001</v>
      </c>
      <c r="F145" s="14"/>
    </row>
    <row r="146" spans="1:6">
      <c r="A146" s="14">
        <v>45801</v>
      </c>
      <c r="B146" s="2">
        <v>108896.11</v>
      </c>
      <c r="C146" s="2">
        <v>2552.5050000000001</v>
      </c>
      <c r="D146" s="2">
        <v>177.81120000000001</v>
      </c>
      <c r="F146" s="14"/>
    </row>
    <row r="147" spans="1:6">
      <c r="A147" s="14">
        <v>45802</v>
      </c>
      <c r="B147" s="2">
        <v>107698.31</v>
      </c>
      <c r="C147" s="2">
        <v>2523.88</v>
      </c>
      <c r="D147" s="2">
        <v>171.93879999999999</v>
      </c>
      <c r="F147" s="14"/>
    </row>
    <row r="148" spans="1:6">
      <c r="A148" s="14">
        <v>45803</v>
      </c>
      <c r="B148" s="2">
        <v>109619.22</v>
      </c>
      <c r="C148" s="2">
        <v>2567.453</v>
      </c>
      <c r="D148" s="2">
        <v>175.38300000000001</v>
      </c>
      <c r="F148" s="14"/>
    </row>
    <row r="149" spans="1:6">
      <c r="A149" s="14">
        <v>45804</v>
      </c>
      <c r="B149" s="2">
        <v>109615.91</v>
      </c>
      <c r="C149" s="2">
        <v>2669.3229999999999</v>
      </c>
      <c r="D149" s="2">
        <v>178.05350000000001</v>
      </c>
      <c r="F149" s="14"/>
    </row>
    <row r="150" spans="1:6">
      <c r="A150" s="14">
        <v>45805</v>
      </c>
      <c r="B150" s="2">
        <v>107335.72</v>
      </c>
      <c r="C150" s="2">
        <v>2635.09</v>
      </c>
      <c r="D150" s="2">
        <v>170.7465</v>
      </c>
      <c r="F150" s="14"/>
    </row>
    <row r="151" spans="1:6">
      <c r="A151" s="14">
        <v>45806</v>
      </c>
      <c r="B151" s="2">
        <v>106179.22</v>
      </c>
      <c r="C151" s="2">
        <v>2643.92</v>
      </c>
      <c r="D151" s="2">
        <v>167.2655</v>
      </c>
      <c r="F151" s="14"/>
    </row>
    <row r="152" spans="1:6">
      <c r="A152" s="14">
        <v>45807</v>
      </c>
      <c r="B152" s="2">
        <v>104597.81</v>
      </c>
      <c r="C152" s="2">
        <v>2577.4699999999998</v>
      </c>
      <c r="D152" s="2">
        <v>159.94919999999999</v>
      </c>
      <c r="F152" s="14"/>
    </row>
    <row r="153" spans="1:6">
      <c r="A153" s="14">
        <v>45808</v>
      </c>
      <c r="B153" s="2">
        <v>104834.41</v>
      </c>
      <c r="C153" s="2">
        <v>2543.21</v>
      </c>
      <c r="D153" s="2">
        <v>157.45320000000001</v>
      </c>
      <c r="F153" s="14"/>
    </row>
    <row r="154" spans="1:6">
      <c r="A154" s="14">
        <v>45809</v>
      </c>
      <c r="B154" s="2">
        <v>105004.41</v>
      </c>
      <c r="C154" s="2">
        <v>2526.7249999999999</v>
      </c>
      <c r="D154" s="2">
        <v>155.7355</v>
      </c>
      <c r="F154" s="14"/>
    </row>
    <row r="155" spans="1:6">
      <c r="A155" s="14">
        <v>45810</v>
      </c>
      <c r="B155" s="2">
        <v>104931.91</v>
      </c>
      <c r="C155" s="2">
        <v>2540.8829999999998</v>
      </c>
      <c r="D155" s="2">
        <v>154.36920000000001</v>
      </c>
      <c r="F155" s="14"/>
    </row>
    <row r="156" spans="1:6">
      <c r="A156" s="14">
        <v>45811</v>
      </c>
      <c r="B156" s="2">
        <v>105810.72</v>
      </c>
      <c r="C156" s="2">
        <v>2616.645</v>
      </c>
      <c r="D156" s="2">
        <v>157.76849999999999</v>
      </c>
      <c r="F156" s="14"/>
    </row>
    <row r="157" spans="1:6">
      <c r="A157" s="14">
        <v>45812</v>
      </c>
      <c r="B157" s="2">
        <v>104668.31</v>
      </c>
      <c r="C157" s="2">
        <v>2606.2649999999999</v>
      </c>
      <c r="D157" s="2">
        <v>154.58000000000001</v>
      </c>
      <c r="F157" s="14"/>
    </row>
    <row r="158" spans="1:6">
      <c r="A158" s="14">
        <v>45813</v>
      </c>
      <c r="B158" s="2">
        <v>100503.81</v>
      </c>
      <c r="C158" s="2">
        <v>2399.5149999999999</v>
      </c>
      <c r="D158" s="2">
        <v>141.8278</v>
      </c>
      <c r="F158" s="14"/>
    </row>
    <row r="159" spans="1:6">
      <c r="A159" s="14">
        <v>45814</v>
      </c>
      <c r="B159" s="2">
        <v>104574.41</v>
      </c>
      <c r="C159" s="2">
        <v>2501.65</v>
      </c>
      <c r="D159" s="2">
        <v>149.4495</v>
      </c>
      <c r="F159" s="14"/>
    </row>
    <row r="160" spans="1:6">
      <c r="A160" s="14">
        <v>45815</v>
      </c>
      <c r="B160" s="2">
        <v>105921.22</v>
      </c>
      <c r="C160" s="2">
        <v>2523.6950000000002</v>
      </c>
      <c r="D160" s="2">
        <v>150.96250000000001</v>
      </c>
      <c r="F160" s="14"/>
    </row>
    <row r="161" spans="1:6">
      <c r="A161" s="14">
        <v>45816</v>
      </c>
      <c r="B161" s="2">
        <v>106206.51</v>
      </c>
      <c r="C161" s="2">
        <v>2532.125</v>
      </c>
      <c r="D161" s="2">
        <v>154.32499999999999</v>
      </c>
      <c r="F161" s="14"/>
    </row>
    <row r="162" spans="1:6">
      <c r="A162" s="14">
        <v>45817</v>
      </c>
      <c r="B162" s="2">
        <v>108770.01</v>
      </c>
      <c r="C162" s="2">
        <v>2590.84</v>
      </c>
      <c r="D162" s="2">
        <v>156.61000000000001</v>
      </c>
      <c r="F162" s="14"/>
    </row>
    <row r="163" spans="1:6">
      <c r="A163" s="14">
        <v>45818</v>
      </c>
      <c r="B163" s="2">
        <v>109979.61</v>
      </c>
      <c r="C163" s="2">
        <v>2774.2</v>
      </c>
      <c r="D163" s="2">
        <v>165.51730000000001</v>
      </c>
      <c r="F163" s="14"/>
    </row>
    <row r="164" spans="1:6">
      <c r="A164" s="14">
        <v>45819</v>
      </c>
      <c r="B164" s="2">
        <v>108933.11</v>
      </c>
      <c r="C164" s="2">
        <v>2816.01</v>
      </c>
      <c r="D164" s="2">
        <v>163.17150000000001</v>
      </c>
      <c r="F164" s="14"/>
    </row>
    <row r="165" spans="1:6">
      <c r="A165" s="14">
        <v>45820</v>
      </c>
      <c r="B165" s="2">
        <v>106012.81</v>
      </c>
      <c r="C165" s="2">
        <v>2641.0650000000001</v>
      </c>
      <c r="D165" s="2">
        <v>153.29499999999999</v>
      </c>
      <c r="F165" s="14"/>
    </row>
    <row r="166" spans="1:6">
      <c r="A166" s="14">
        <v>45821</v>
      </c>
      <c r="B166" s="2">
        <v>105472.51</v>
      </c>
      <c r="C166" s="2">
        <v>2547.8049999999998</v>
      </c>
      <c r="D166" s="2">
        <v>147.33750000000001</v>
      </c>
      <c r="F166" s="14"/>
    </row>
    <row r="167" spans="1:6">
      <c r="A167" s="14">
        <v>45822</v>
      </c>
      <c r="B167" s="2">
        <v>104937.31</v>
      </c>
      <c r="C167" s="2">
        <v>2510.7350000000001</v>
      </c>
      <c r="D167" s="2">
        <v>143.00049999999999</v>
      </c>
      <c r="F167" s="14"/>
    </row>
    <row r="168" spans="1:6">
      <c r="A168" s="14">
        <v>45823</v>
      </c>
      <c r="B168" s="2">
        <v>104751.41</v>
      </c>
      <c r="C168" s="2">
        <v>2503.9499999999998</v>
      </c>
      <c r="D168" s="2">
        <v>148.98339999999999</v>
      </c>
      <c r="F168" s="14"/>
    </row>
    <row r="169" spans="1:6">
      <c r="A169" s="14">
        <v>45824</v>
      </c>
      <c r="B169" s="2">
        <v>108833.22</v>
      </c>
      <c r="C169" s="2">
        <v>2671.3850000000002</v>
      </c>
      <c r="D169" s="2">
        <v>157.38</v>
      </c>
      <c r="F169" s="14"/>
    </row>
    <row r="170" spans="1:6">
      <c r="A170" s="14">
        <v>45825</v>
      </c>
      <c r="B170" s="2">
        <v>104392.11</v>
      </c>
      <c r="C170" s="2">
        <v>2511.6</v>
      </c>
      <c r="D170" s="2">
        <v>148.73249999999999</v>
      </c>
      <c r="F170" s="14"/>
    </row>
    <row r="171" spans="1:6">
      <c r="A171" s="14">
        <v>45826</v>
      </c>
      <c r="B171" s="2">
        <v>104836.11</v>
      </c>
      <c r="C171" s="2">
        <v>2529.7049999999999</v>
      </c>
      <c r="D171" s="2">
        <v>147.52799999999999</v>
      </c>
      <c r="F171" s="14"/>
    </row>
    <row r="172" spans="1:6">
      <c r="A172" s="14">
        <v>45827</v>
      </c>
      <c r="B172" s="2">
        <v>104297.01</v>
      </c>
      <c r="C172" s="2">
        <v>2507.9050000000002</v>
      </c>
      <c r="D172" s="2">
        <v>145.40780000000001</v>
      </c>
      <c r="F172" s="14"/>
    </row>
    <row r="173" spans="1:6">
      <c r="A173" s="14">
        <v>45828</v>
      </c>
      <c r="B173" s="2">
        <v>103721.91</v>
      </c>
      <c r="C173" s="2">
        <v>2427.89</v>
      </c>
      <c r="D173" s="2">
        <v>141.00069999999999</v>
      </c>
      <c r="F173" s="14"/>
    </row>
    <row r="174" spans="1:6">
      <c r="A174" s="14">
        <v>45829</v>
      </c>
      <c r="B174" s="2">
        <v>102815.01</v>
      </c>
      <c r="C174" s="2">
        <v>2403.7719999999999</v>
      </c>
      <c r="D174" s="2">
        <v>138.47499999999999</v>
      </c>
      <c r="F174" s="14"/>
    </row>
    <row r="175" spans="1:6">
      <c r="A175" s="14">
        <v>45830</v>
      </c>
      <c r="B175" s="2">
        <v>99561.32</v>
      </c>
      <c r="C175" s="2">
        <v>2188.4270000000001</v>
      </c>
      <c r="D175" s="2">
        <v>129.59460000000001</v>
      </c>
      <c r="F175" s="14"/>
    </row>
    <row r="176" spans="1:6">
      <c r="A176" s="14">
        <v>45831</v>
      </c>
      <c r="B176" s="2">
        <v>103802.81</v>
      </c>
      <c r="C176" s="2">
        <v>2348.518</v>
      </c>
      <c r="D176" s="2">
        <v>140.7011</v>
      </c>
      <c r="F176" s="14"/>
    </row>
    <row r="177" spans="1:6">
      <c r="A177" s="14">
        <v>45832</v>
      </c>
      <c r="B177" s="2">
        <v>106143.11</v>
      </c>
      <c r="C177" s="2">
        <v>2450.373</v>
      </c>
      <c r="D177" s="2">
        <v>145.1438</v>
      </c>
      <c r="F177" s="14"/>
    </row>
    <row r="178" spans="1:6">
      <c r="A178" s="14">
        <v>45833</v>
      </c>
      <c r="B178" s="2">
        <v>107848.31</v>
      </c>
      <c r="C178" s="2">
        <v>2439.6350000000002</v>
      </c>
      <c r="D178" s="2">
        <v>145.13570000000001</v>
      </c>
      <c r="F178" s="14"/>
    </row>
    <row r="179" spans="1:6">
      <c r="A179" s="14">
        <v>45834</v>
      </c>
      <c r="B179" s="2">
        <v>107811.61</v>
      </c>
      <c r="C179" s="2">
        <v>2446.3429999999998</v>
      </c>
      <c r="D179" s="2">
        <v>143.03880000000001</v>
      </c>
      <c r="F179" s="14"/>
    </row>
    <row r="180" spans="1:6">
      <c r="A180" s="14">
        <v>45835</v>
      </c>
      <c r="B180" s="2">
        <v>107169.81</v>
      </c>
      <c r="C180" s="2">
        <v>2427.15</v>
      </c>
      <c r="D180" s="2">
        <v>142.90350000000001</v>
      </c>
      <c r="F180" s="14"/>
    </row>
    <row r="181" spans="1:6">
      <c r="A181" s="14">
        <v>45836</v>
      </c>
      <c r="B181" s="2">
        <v>107223.11</v>
      </c>
      <c r="C181" s="2">
        <v>2430.7049999999999</v>
      </c>
      <c r="D181" s="2">
        <v>150.14250000000001</v>
      </c>
      <c r="F181" s="14"/>
    </row>
    <row r="182" spans="1:6">
      <c r="A182" s="14">
        <v>45837</v>
      </c>
      <c r="B182" s="2">
        <v>107411.31</v>
      </c>
      <c r="C182" s="2">
        <v>2433.5500000000002</v>
      </c>
      <c r="D182" s="2">
        <v>150.86600000000001</v>
      </c>
      <c r="F182" s="14"/>
    </row>
    <row r="183" spans="1:6">
      <c r="A183" s="14">
        <v>45838</v>
      </c>
      <c r="B183" s="2">
        <v>107606.61</v>
      </c>
      <c r="C183" s="2">
        <v>2503.8200000000002</v>
      </c>
      <c r="D183" s="2">
        <v>156.6465</v>
      </c>
      <c r="F183" s="14"/>
    </row>
    <row r="184" spans="1:6">
      <c r="A184" s="14">
        <v>45839</v>
      </c>
      <c r="B184" s="2">
        <v>105949.31</v>
      </c>
      <c r="C184" s="2">
        <v>2415.877</v>
      </c>
      <c r="D184" s="2">
        <v>146.52510000000001</v>
      </c>
      <c r="F184" s="14"/>
    </row>
    <row r="185" spans="1:6">
      <c r="A185" s="14">
        <v>45840</v>
      </c>
      <c r="B185" s="2">
        <v>109213.41</v>
      </c>
      <c r="C185" s="2">
        <v>2591.9</v>
      </c>
      <c r="D185" s="2">
        <v>152.9598</v>
      </c>
      <c r="F185" s="14"/>
    </row>
    <row r="186" spans="1:6">
      <c r="A186" s="14">
        <v>45841</v>
      </c>
      <c r="B186" s="2">
        <v>109985.51</v>
      </c>
      <c r="C186" s="2">
        <v>2600.277</v>
      </c>
      <c r="D186" s="2">
        <v>152.87209999999999</v>
      </c>
      <c r="F186" s="14"/>
    </row>
    <row r="187" spans="1:6">
      <c r="A187" s="14">
        <v>45842</v>
      </c>
      <c r="B187" s="2">
        <v>107741.81</v>
      </c>
      <c r="C187" s="2">
        <v>2491.288</v>
      </c>
      <c r="D187" s="2">
        <v>146.89449999999999</v>
      </c>
      <c r="F187" s="14"/>
    </row>
    <row r="188" spans="1:6">
      <c r="A188" s="14">
        <v>45843</v>
      </c>
      <c r="B188" s="2">
        <v>108137.41</v>
      </c>
      <c r="C188" s="2">
        <v>2507.5250000000001</v>
      </c>
      <c r="D188" s="2">
        <v>147.25</v>
      </c>
      <c r="F188" s="14"/>
    </row>
    <row r="189" spans="1:6">
      <c r="A189" s="14">
        <v>45844</v>
      </c>
      <c r="B189" s="2">
        <v>108708.81</v>
      </c>
      <c r="C189" s="2">
        <v>2546.7049999999999</v>
      </c>
      <c r="D189" s="2">
        <v>151.5112</v>
      </c>
      <c r="F189" s="14"/>
    </row>
    <row r="190" spans="1:6">
      <c r="A190" s="14">
        <v>45845</v>
      </c>
      <c r="B190" s="2">
        <v>107900.91</v>
      </c>
      <c r="C190" s="2">
        <v>2534.2449999999999</v>
      </c>
      <c r="D190" s="2">
        <v>148.3954</v>
      </c>
      <c r="F190" s="14"/>
    </row>
    <row r="191" spans="1:6">
      <c r="A191" s="14">
        <v>45846</v>
      </c>
      <c r="B191" s="2">
        <v>108682.81</v>
      </c>
      <c r="C191" s="2">
        <v>2599.5500000000002</v>
      </c>
      <c r="D191" s="2">
        <v>150.07490000000001</v>
      </c>
      <c r="F191" s="14"/>
    </row>
    <row r="192" spans="1:6">
      <c r="A192" s="14">
        <v>45847</v>
      </c>
      <c r="B192" s="2">
        <v>110758.81</v>
      </c>
      <c r="C192" s="2">
        <v>2739.28</v>
      </c>
      <c r="D192" s="2">
        <v>156.11150000000001</v>
      </c>
      <c r="F192" s="14"/>
    </row>
    <row r="193" spans="1:6">
      <c r="A193" s="14">
        <v>45848</v>
      </c>
      <c r="B193" s="2">
        <v>113584.72</v>
      </c>
      <c r="C193" s="2">
        <v>2820.4270000000001</v>
      </c>
      <c r="D193" s="2">
        <v>160.45500000000001</v>
      </c>
      <c r="F193" s="14"/>
    </row>
    <row r="194" spans="1:6">
      <c r="A194" s="14">
        <v>45849</v>
      </c>
      <c r="B194" s="2">
        <v>117730.81</v>
      </c>
      <c r="C194" s="2">
        <v>2975.75</v>
      </c>
      <c r="D194" s="2">
        <v>162.71</v>
      </c>
      <c r="F194" s="14"/>
    </row>
    <row r="195" spans="1:6">
      <c r="A195" s="14">
        <v>45850</v>
      </c>
      <c r="B195" s="2">
        <v>117075.31</v>
      </c>
      <c r="C195" s="2">
        <v>2917.982</v>
      </c>
      <c r="D195" s="2">
        <v>159.01300000000001</v>
      </c>
      <c r="F195" s="14"/>
    </row>
    <row r="196" spans="1:6">
      <c r="A196" s="14">
        <v>45851</v>
      </c>
      <c r="B196" s="2">
        <v>119133.81</v>
      </c>
      <c r="C196" s="2">
        <v>2992.5</v>
      </c>
      <c r="D196" s="2">
        <v>162.54</v>
      </c>
      <c r="F196" s="14"/>
    </row>
    <row r="197" spans="1:6">
      <c r="A197" s="14">
        <v>45852</v>
      </c>
      <c r="B197" s="2">
        <v>120198.01</v>
      </c>
      <c r="C197" s="2">
        <v>3005.2350000000001</v>
      </c>
      <c r="D197" s="2">
        <v>163.006</v>
      </c>
      <c r="F197" s="14"/>
    </row>
    <row r="198" spans="1:6">
      <c r="A198" s="14">
        <v>45853</v>
      </c>
      <c r="B198" s="2">
        <v>116440.51</v>
      </c>
      <c r="C198" s="2">
        <v>3041.9780000000001</v>
      </c>
      <c r="D198" s="2">
        <v>160.7482</v>
      </c>
      <c r="F198" s="14"/>
    </row>
    <row r="199" spans="1:6">
      <c r="A199" s="14">
        <v>45854</v>
      </c>
      <c r="B199" s="2">
        <v>119972.91</v>
      </c>
      <c r="C199" s="2">
        <v>3381.69</v>
      </c>
      <c r="D199" s="2">
        <v>174.74850000000001</v>
      </c>
      <c r="F199" s="14"/>
    </row>
    <row r="200" spans="1:6">
      <c r="A200" s="14">
        <v>45855</v>
      </c>
      <c r="B200" s="2">
        <v>119480.12</v>
      </c>
      <c r="C200" s="2">
        <v>3422.1750000000002</v>
      </c>
      <c r="D200" s="2">
        <v>173.54300000000001</v>
      </c>
      <c r="F200" s="14"/>
    </row>
    <row r="201" spans="1:6">
      <c r="A201" s="14">
        <v>45856</v>
      </c>
      <c r="B201" s="2">
        <v>117489.12</v>
      </c>
      <c r="C201" s="2">
        <v>3520.15</v>
      </c>
      <c r="D201" s="2">
        <v>175.441</v>
      </c>
      <c r="F201" s="14"/>
    </row>
    <row r="202" spans="1:6">
      <c r="A202" s="14">
        <v>45857</v>
      </c>
      <c r="B202" s="2">
        <v>117787.31</v>
      </c>
      <c r="C202" s="2">
        <v>3565.52</v>
      </c>
      <c r="D202" s="2">
        <v>177.51</v>
      </c>
      <c r="F202" s="14"/>
    </row>
    <row r="203" spans="1:6">
      <c r="A203" s="14">
        <v>45858</v>
      </c>
      <c r="B203" s="2">
        <v>118139.41</v>
      </c>
      <c r="C203" s="2">
        <v>3741.7750000000001</v>
      </c>
      <c r="D203" s="2">
        <v>181.28829999999999</v>
      </c>
      <c r="F203" s="14"/>
    </row>
    <row r="204" spans="1:6">
      <c r="A204" s="14">
        <v>45859</v>
      </c>
      <c r="B204" s="2">
        <v>116990.81</v>
      </c>
      <c r="C204" s="2">
        <v>3757.91</v>
      </c>
      <c r="D204" s="2">
        <v>193.97149999999999</v>
      </c>
      <c r="F204" s="14"/>
    </row>
    <row r="205" spans="1:6">
      <c r="A205" s="14">
        <v>45860</v>
      </c>
      <c r="B205" s="2">
        <v>119772.22</v>
      </c>
      <c r="C205" s="2">
        <v>3708.2</v>
      </c>
      <c r="D205" s="2">
        <v>200.75149999999999</v>
      </c>
      <c r="F205" s="14"/>
    </row>
    <row r="206" spans="1:6">
      <c r="A206" s="14">
        <v>45861</v>
      </c>
      <c r="B206" s="2">
        <v>117961.72</v>
      </c>
      <c r="C206" s="2">
        <v>3569.875</v>
      </c>
      <c r="D206" s="2">
        <v>186.88200000000001</v>
      </c>
      <c r="F206" s="14"/>
    </row>
    <row r="207" spans="1:6">
      <c r="A207" s="14">
        <v>45862</v>
      </c>
      <c r="B207" s="2">
        <v>118780.41</v>
      </c>
      <c r="C207" s="2">
        <v>3738.1109999999999</v>
      </c>
      <c r="D207" s="2">
        <v>188.9804</v>
      </c>
      <c r="F207" s="14"/>
    </row>
    <row r="208" spans="1:6">
      <c r="A208" s="14">
        <v>45863</v>
      </c>
      <c r="B208" s="2">
        <v>117104.31</v>
      </c>
      <c r="C208" s="2">
        <v>3686.7420000000002</v>
      </c>
      <c r="D208" s="2">
        <v>183.88509999999999</v>
      </c>
      <c r="F208" s="14"/>
    </row>
    <row r="209" spans="1:6">
      <c r="A209" s="14">
        <v>45864</v>
      </c>
      <c r="B209" s="2">
        <v>118004.91</v>
      </c>
      <c r="C209" s="2">
        <v>3746.9659999999999</v>
      </c>
      <c r="D209" s="2">
        <v>185.97710000000001</v>
      </c>
      <c r="F209" s="14"/>
    </row>
    <row r="210" spans="1:6">
      <c r="A210" s="14">
        <v>45865</v>
      </c>
      <c r="B210" s="2">
        <v>118801.81</v>
      </c>
      <c r="C210" s="2">
        <v>3824.7179999999998</v>
      </c>
      <c r="D210" s="2">
        <v>187.2063</v>
      </c>
      <c r="F210" s="14"/>
    </row>
    <row r="211" spans="1:6">
      <c r="A211" s="14">
        <v>45866</v>
      </c>
      <c r="B211" s="2">
        <v>118040.22</v>
      </c>
      <c r="C211" s="2">
        <v>3788.73</v>
      </c>
      <c r="D211" s="2">
        <v>184.26429999999999</v>
      </c>
      <c r="F211" s="14"/>
    </row>
    <row r="212" spans="1:6">
      <c r="A212" s="14">
        <v>45867</v>
      </c>
      <c r="B212" s="2">
        <v>117479.31</v>
      </c>
      <c r="C212" s="2">
        <v>3764.2460000000001</v>
      </c>
      <c r="D212" s="2">
        <v>180.08359999999999</v>
      </c>
      <c r="F212" s="14"/>
    </row>
    <row r="213" spans="1:6">
      <c r="A213" s="14">
        <v>45868</v>
      </c>
      <c r="B213" s="2">
        <v>117143.62</v>
      </c>
      <c r="C213" s="2">
        <v>3769.587</v>
      </c>
      <c r="D213" s="2">
        <v>176.16849999999999</v>
      </c>
      <c r="F213" s="14"/>
    </row>
    <row r="214" spans="1:6">
      <c r="A214" s="14">
        <v>45869</v>
      </c>
      <c r="B214" s="2">
        <v>116491.12</v>
      </c>
      <c r="C214" s="2">
        <v>3734.7080000000001</v>
      </c>
      <c r="D214" s="2">
        <v>175.43209999999999</v>
      </c>
      <c r="F214" s="14"/>
    </row>
    <row r="215" spans="1:6">
      <c r="A215" s="14">
        <v>45870</v>
      </c>
      <c r="B215" s="2">
        <v>113905.41</v>
      </c>
      <c r="C215" s="2">
        <v>3540.377</v>
      </c>
      <c r="D215" s="2">
        <v>163.74789999999999</v>
      </c>
      <c r="F215" s="14"/>
    </row>
    <row r="216" spans="1:6">
      <c r="A216" s="14">
        <v>45871</v>
      </c>
      <c r="B216" s="2">
        <v>112759.62</v>
      </c>
      <c r="C216" s="2">
        <v>3422.8870000000002</v>
      </c>
      <c r="D216" s="2">
        <v>158.9967</v>
      </c>
      <c r="F216" s="14"/>
    </row>
    <row r="217" spans="1:6">
      <c r="A217" s="14">
        <v>45872</v>
      </c>
      <c r="B217" s="2">
        <v>114432.91</v>
      </c>
      <c r="C217" s="2">
        <v>3493.3409999999999</v>
      </c>
      <c r="D217" s="2">
        <v>161.56540000000001</v>
      </c>
      <c r="F217" s="14"/>
    </row>
    <row r="218" spans="1:6">
      <c r="A218" s="14">
        <v>45873</v>
      </c>
      <c r="B218" s="2">
        <v>114821.41</v>
      </c>
      <c r="C218" s="2">
        <v>3700.9459999999999</v>
      </c>
      <c r="D218" s="2">
        <v>167.3133</v>
      </c>
      <c r="F218" s="14"/>
    </row>
    <row r="219" spans="1:6">
      <c r="A219" s="14">
        <v>45874</v>
      </c>
      <c r="B219" s="2">
        <v>113687.51</v>
      </c>
      <c r="C219" s="2">
        <v>3576.1770000000001</v>
      </c>
      <c r="D219" s="2">
        <v>162.6155</v>
      </c>
      <c r="F219" s="14"/>
    </row>
    <row r="220" spans="1:6">
      <c r="A220" s="14">
        <v>45875</v>
      </c>
      <c r="B220" s="2">
        <v>115088.22</v>
      </c>
      <c r="C220" s="2">
        <v>3675.817</v>
      </c>
      <c r="D220" s="2">
        <v>168.0703</v>
      </c>
      <c r="F220" s="14"/>
    </row>
    <row r="221" spans="1:6">
      <c r="A221" s="14">
        <v>45876</v>
      </c>
      <c r="B221" s="2">
        <v>117239.91</v>
      </c>
      <c r="C221" s="2">
        <v>3876.029</v>
      </c>
      <c r="D221" s="2">
        <v>173.0027</v>
      </c>
      <c r="F221" s="14"/>
    </row>
    <row r="222" spans="1:6">
      <c r="A222" s="14">
        <v>45877</v>
      </c>
      <c r="B222" s="2">
        <v>116915.22</v>
      </c>
      <c r="C222" s="2">
        <v>4058.6770000000001</v>
      </c>
      <c r="D222" s="2">
        <v>178.27619999999999</v>
      </c>
      <c r="F222" s="14"/>
    </row>
    <row r="223" spans="1:6">
      <c r="A223" s="14">
        <v>45878</v>
      </c>
      <c r="B223" s="2">
        <v>116798.62</v>
      </c>
      <c r="C223" s="2">
        <v>4290.7730000000001</v>
      </c>
      <c r="D223" s="2">
        <v>183.0592</v>
      </c>
      <c r="F223" s="14"/>
    </row>
    <row r="224" spans="1:6">
      <c r="A224" s="14">
        <v>45879</v>
      </c>
      <c r="B224" s="2">
        <v>118362.41</v>
      </c>
      <c r="C224" s="2">
        <v>4218.55</v>
      </c>
      <c r="D224" s="2">
        <v>182.78129999999999</v>
      </c>
      <c r="F224" s="14"/>
    </row>
    <row r="225" spans="1:6">
      <c r="A225" s="14">
        <v>45880</v>
      </c>
      <c r="B225" s="2">
        <v>118856.31</v>
      </c>
      <c r="C225" s="2">
        <v>4245.6350000000002</v>
      </c>
      <c r="D225" s="2">
        <v>176.17349999999999</v>
      </c>
      <c r="F225" s="14"/>
    </row>
    <row r="226" spans="1:6">
      <c r="A226" s="14">
        <v>45881</v>
      </c>
      <c r="B226" s="2">
        <v>120177.31</v>
      </c>
      <c r="C226" s="2">
        <v>4621.0339999999997</v>
      </c>
      <c r="D226" s="2">
        <v>191.52449999999999</v>
      </c>
      <c r="F226" s="14"/>
    </row>
    <row r="227" spans="1:6">
      <c r="A227" s="14">
        <v>45882</v>
      </c>
      <c r="B227" s="2">
        <v>122951.91</v>
      </c>
      <c r="C227" s="2">
        <v>4719.4719999999998</v>
      </c>
      <c r="D227" s="2">
        <v>200.28149999999999</v>
      </c>
      <c r="F227" s="14"/>
    </row>
    <row r="228" spans="1:6">
      <c r="A228" s="14">
        <v>45883</v>
      </c>
      <c r="B228" s="2">
        <v>117957.12</v>
      </c>
      <c r="C228" s="2">
        <v>4537.5460000000003</v>
      </c>
      <c r="D228" s="2">
        <v>192.36449999999999</v>
      </c>
      <c r="F228" s="14"/>
    </row>
    <row r="229" spans="1:6">
      <c r="A229" s="14">
        <v>45884</v>
      </c>
      <c r="B229" s="2">
        <v>117370.81</v>
      </c>
      <c r="C229" s="2">
        <v>4428.3450000000003</v>
      </c>
      <c r="D229" s="2">
        <v>184.95070000000001</v>
      </c>
      <c r="F229" s="14"/>
    </row>
    <row r="230" spans="1:6">
      <c r="A230" s="14">
        <v>45885</v>
      </c>
      <c r="B230" s="2">
        <v>117733.51</v>
      </c>
      <c r="C230" s="2">
        <v>4434.9549999999999</v>
      </c>
      <c r="D230" s="2">
        <v>189.21600000000001</v>
      </c>
      <c r="F230" s="14"/>
    </row>
    <row r="231" spans="1:6">
      <c r="A231" s="14">
        <v>45886</v>
      </c>
      <c r="B231" s="2">
        <v>117692.62</v>
      </c>
      <c r="C231" s="2">
        <v>4471.0559999999996</v>
      </c>
      <c r="D231" s="2">
        <v>191.27860000000001</v>
      </c>
      <c r="F231" s="14"/>
    </row>
    <row r="232" spans="1:6">
      <c r="A232" s="14">
        <v>45887</v>
      </c>
      <c r="B232" s="2">
        <v>116474.22</v>
      </c>
      <c r="C232" s="2">
        <v>4334.41</v>
      </c>
      <c r="D232" s="2">
        <v>183.1601</v>
      </c>
      <c r="F232" s="14"/>
    </row>
    <row r="233" spans="1:6">
      <c r="A233" s="14">
        <v>45888</v>
      </c>
      <c r="B233" s="2">
        <v>113553.72</v>
      </c>
      <c r="C233" s="2">
        <v>4158.2740000000003</v>
      </c>
      <c r="D233" s="2">
        <v>178.64940000000001</v>
      </c>
      <c r="F233" s="14"/>
    </row>
    <row r="234" spans="1:6">
      <c r="A234" s="14">
        <v>45889</v>
      </c>
      <c r="B234" s="2">
        <v>114387.01</v>
      </c>
      <c r="C234" s="2">
        <v>4356.4840000000004</v>
      </c>
      <c r="D234" s="2">
        <v>187.25489999999999</v>
      </c>
      <c r="F234" s="14"/>
    </row>
    <row r="235" spans="1:6">
      <c r="A235" s="14">
        <v>45890</v>
      </c>
      <c r="B235" s="2">
        <v>112420.81</v>
      </c>
      <c r="C235" s="2">
        <v>4241.451</v>
      </c>
      <c r="D235" s="2">
        <v>180.7919</v>
      </c>
      <c r="F235" s="14"/>
    </row>
    <row r="236" spans="1:6">
      <c r="A236" s="14">
        <v>45891</v>
      </c>
      <c r="B236" s="2">
        <v>117042.51</v>
      </c>
      <c r="C236" s="2">
        <v>4848.1930000000002</v>
      </c>
      <c r="D236" s="2">
        <v>199.6105</v>
      </c>
      <c r="F236" s="14"/>
    </row>
    <row r="237" spans="1:6">
      <c r="A237" s="14">
        <v>45892</v>
      </c>
      <c r="B237" s="2">
        <v>115287.41</v>
      </c>
      <c r="C237" s="2">
        <v>4751.5450000000001</v>
      </c>
      <c r="D237" s="2">
        <v>203.77600000000001</v>
      </c>
      <c r="F237" s="14"/>
    </row>
    <row r="238" spans="1:6">
      <c r="A238" s="14">
        <v>45893</v>
      </c>
      <c r="B238" s="2">
        <v>112773.41</v>
      </c>
      <c r="C238" s="2">
        <v>4787.1310000000003</v>
      </c>
      <c r="D238" s="2">
        <v>203.59399999999999</v>
      </c>
      <c r="F238" s="14"/>
    </row>
    <row r="239" spans="1:6">
      <c r="A239" s="14">
        <v>45894</v>
      </c>
      <c r="B239" s="2">
        <v>109574.81</v>
      </c>
      <c r="C239" s="2">
        <v>4353.3249999999998</v>
      </c>
      <c r="D239" s="2">
        <v>186.61250000000001</v>
      </c>
      <c r="F239" s="14"/>
    </row>
    <row r="240" spans="1:6">
      <c r="A240" s="14">
        <v>45895</v>
      </c>
      <c r="B240" s="2">
        <v>111356.41</v>
      </c>
      <c r="C240" s="2">
        <v>4587.4970000000003</v>
      </c>
      <c r="D240" s="2">
        <v>196.57</v>
      </c>
      <c r="F240" s="14"/>
    </row>
    <row r="241" spans="1:6">
      <c r="A241" s="14">
        <v>45896</v>
      </c>
      <c r="B241" s="2">
        <v>112421.91</v>
      </c>
      <c r="C241" s="2">
        <v>4596.1459999999997</v>
      </c>
      <c r="D241" s="2">
        <v>208.58699999999999</v>
      </c>
      <c r="F241" s="14"/>
    </row>
    <row r="242" spans="1:6">
      <c r="A242" s="14">
        <v>45897</v>
      </c>
      <c r="B242" s="2">
        <v>111924.51</v>
      </c>
      <c r="C242" s="2">
        <v>4458.6009999999997</v>
      </c>
      <c r="D242" s="2">
        <v>213.3083</v>
      </c>
      <c r="F242" s="14"/>
    </row>
    <row r="243" spans="1:6">
      <c r="A243" s="14">
        <v>45898</v>
      </c>
      <c r="B243" s="2">
        <v>107800.31</v>
      </c>
      <c r="C243" s="2">
        <v>4321.82</v>
      </c>
      <c r="D243" s="2">
        <v>201.07259999999999</v>
      </c>
      <c r="F243" s="14"/>
    </row>
    <row r="244" spans="1:6">
      <c r="A244" s="14">
        <v>45899</v>
      </c>
      <c r="B244" s="2">
        <v>108662.61</v>
      </c>
      <c r="C244" s="2">
        <v>4344.7</v>
      </c>
      <c r="D244" s="2">
        <v>200.78450000000001</v>
      </c>
      <c r="F244" s="14"/>
    </row>
    <row r="245" spans="1:6">
      <c r="A245" s="14">
        <v>45900</v>
      </c>
      <c r="B245" s="2">
        <v>109127.01</v>
      </c>
      <c r="C245" s="2">
        <v>4455.665</v>
      </c>
      <c r="D245" s="2">
        <v>204.91630000000001</v>
      </c>
      <c r="F245" s="14"/>
    </row>
    <row r="246" spans="1:6">
      <c r="A246" s="14">
        <v>45901</v>
      </c>
      <c r="B246" s="2">
        <v>108873.11</v>
      </c>
      <c r="C246" s="2">
        <v>4289.7219999999998</v>
      </c>
      <c r="D246" s="2">
        <v>197.79079999999999</v>
      </c>
      <c r="F246" s="14"/>
    </row>
    <row r="247" spans="1:6">
      <c r="A247" s="14">
        <v>45902</v>
      </c>
      <c r="B247" s="2">
        <v>111424.51</v>
      </c>
      <c r="C247" s="2">
        <v>4314.12</v>
      </c>
      <c r="D247" s="2">
        <v>206.8005</v>
      </c>
      <c r="F247" s="14"/>
    </row>
    <row r="248" spans="1:6">
      <c r="A248" s="14">
        <v>45903</v>
      </c>
      <c r="B248" s="2">
        <v>112263.72</v>
      </c>
      <c r="C248" s="2">
        <v>4467.0010000000002</v>
      </c>
      <c r="D248" s="2">
        <v>209.60300000000001</v>
      </c>
      <c r="F248" s="14"/>
    </row>
    <row r="249" spans="1:6">
      <c r="A249" s="14">
        <v>45904</v>
      </c>
      <c r="B249" s="2">
        <v>110407.01</v>
      </c>
      <c r="C249" s="2">
        <v>4306.5439999999999</v>
      </c>
      <c r="D249" s="2">
        <v>202.6934</v>
      </c>
      <c r="F249" s="14"/>
    </row>
    <row r="250" spans="1:6">
      <c r="A250" s="14">
        <v>45905</v>
      </c>
      <c r="B250" s="2">
        <v>111644.51</v>
      </c>
      <c r="C250" s="2">
        <v>4339.92</v>
      </c>
      <c r="D250" s="2">
        <v>205.60820000000001</v>
      </c>
      <c r="F250" s="14"/>
    </row>
    <row r="251" spans="1:6">
      <c r="A251" s="14">
        <v>45906</v>
      </c>
      <c r="B251" s="2">
        <v>110192.81</v>
      </c>
      <c r="C251" s="2">
        <v>4280.2020000000002</v>
      </c>
      <c r="D251" s="2">
        <v>200.81319999999999</v>
      </c>
      <c r="F251" s="14"/>
    </row>
    <row r="252" spans="1:6">
      <c r="A252" s="14">
        <v>45907</v>
      </c>
      <c r="B252" s="2">
        <v>111336.31</v>
      </c>
      <c r="C252" s="2">
        <v>4300.8059999999996</v>
      </c>
      <c r="D252" s="2">
        <v>204.94829999999999</v>
      </c>
      <c r="F252" s="14"/>
    </row>
    <row r="253" spans="1:6">
      <c r="A253" s="14">
        <v>45908</v>
      </c>
      <c r="B253" s="2">
        <v>111986.51</v>
      </c>
      <c r="C253" s="2">
        <v>4297.7</v>
      </c>
      <c r="D253" s="2">
        <v>214.4905</v>
      </c>
      <c r="F253" s="14"/>
    </row>
    <row r="254" spans="1:6">
      <c r="A254" s="14">
        <v>45909</v>
      </c>
      <c r="B254" s="2">
        <v>111517.81</v>
      </c>
      <c r="C254" s="2">
        <v>4304.0169999999998</v>
      </c>
      <c r="D254" s="2">
        <v>216.3005</v>
      </c>
      <c r="F254" s="14"/>
    </row>
    <row r="255" spans="1:6">
      <c r="A255" s="14">
        <v>45910</v>
      </c>
      <c r="B255" s="2">
        <v>113618.81</v>
      </c>
      <c r="C255" s="2">
        <v>4330.9560000000001</v>
      </c>
      <c r="D255" s="2">
        <v>222.60550000000001</v>
      </c>
      <c r="F255" s="14"/>
    </row>
    <row r="256" spans="1:6">
      <c r="A256" s="14">
        <v>45911</v>
      </c>
      <c r="B256" s="2">
        <v>114428.01</v>
      </c>
      <c r="C256" s="2">
        <v>4417.2749999999996</v>
      </c>
      <c r="D256" s="2">
        <v>225.57499999999999</v>
      </c>
      <c r="F256" s="14"/>
    </row>
    <row r="257" spans="1:6">
      <c r="A257" s="14">
        <v>45912</v>
      </c>
      <c r="B257" s="2">
        <v>116255.31</v>
      </c>
      <c r="C257" s="2">
        <v>4673.1490000000003</v>
      </c>
      <c r="D257" s="2">
        <v>239.8</v>
      </c>
      <c r="F257" s="14"/>
    </row>
    <row r="258" spans="1:6">
      <c r="A258" s="14">
        <v>45913</v>
      </c>
      <c r="B258" s="2">
        <v>115966.22</v>
      </c>
      <c r="C258" s="2">
        <v>4659.6670000000004</v>
      </c>
      <c r="D258" s="2">
        <v>240.29</v>
      </c>
      <c r="F258" s="14"/>
    </row>
    <row r="259" spans="1:6">
      <c r="A259" s="14">
        <v>45914</v>
      </c>
      <c r="B259" s="2">
        <v>115855.62</v>
      </c>
      <c r="C259" s="2">
        <v>4619.0510000000004</v>
      </c>
      <c r="D259" s="2">
        <v>242.57149999999999</v>
      </c>
      <c r="F259" s="14"/>
    </row>
    <row r="260" spans="1:6">
      <c r="A260" s="14">
        <v>45915</v>
      </c>
      <c r="B260" s="2">
        <v>115409.81</v>
      </c>
      <c r="C260" s="2">
        <v>4512.335</v>
      </c>
      <c r="D260" s="2">
        <v>234.43119999999999</v>
      </c>
      <c r="F260" s="14"/>
    </row>
    <row r="261" spans="1:6">
      <c r="A261" s="14">
        <v>45916</v>
      </c>
      <c r="B261" s="2">
        <v>116894.22</v>
      </c>
      <c r="C261" s="2">
        <v>4499.7619999999997</v>
      </c>
      <c r="D261" s="2">
        <v>238.43879999999999</v>
      </c>
      <c r="F261" s="14"/>
    </row>
    <row r="262" spans="1:6">
      <c r="A262" s="14">
        <v>45917</v>
      </c>
      <c r="B262" s="2">
        <v>115656.22</v>
      </c>
      <c r="C262" s="2">
        <v>4504.2449999999999</v>
      </c>
      <c r="D262" s="2">
        <v>238.161</v>
      </c>
      <c r="F262" s="14"/>
    </row>
    <row r="263" spans="1:6">
      <c r="A263" s="14">
        <v>45918</v>
      </c>
      <c r="B263" s="2">
        <v>117579.51</v>
      </c>
      <c r="C263" s="2">
        <v>4606.4889999999996</v>
      </c>
      <c r="D263" s="2">
        <v>248.43799999999999</v>
      </c>
      <c r="F263" s="14"/>
    </row>
    <row r="264" spans="1:6">
      <c r="A264" s="14">
        <v>45919</v>
      </c>
      <c r="B264" s="2">
        <v>115389.41</v>
      </c>
      <c r="C264" s="2">
        <v>4461.9809999999998</v>
      </c>
      <c r="D264" s="2">
        <v>237.22110000000001</v>
      </c>
      <c r="F264" s="14"/>
    </row>
    <row r="265" spans="1:6">
      <c r="A265" s="14">
        <v>45920</v>
      </c>
      <c r="B265" s="2">
        <v>115813.81</v>
      </c>
      <c r="C265" s="2">
        <v>4487.3459999999995</v>
      </c>
      <c r="D265" s="2">
        <v>239.92679999999999</v>
      </c>
      <c r="F265" s="14"/>
    </row>
    <row r="266" spans="1:6">
      <c r="A266" s="14">
        <v>45921</v>
      </c>
      <c r="B266" s="2">
        <v>115405.51</v>
      </c>
      <c r="C266" s="2">
        <v>4478.9189999999999</v>
      </c>
      <c r="D266" s="2">
        <v>237.78890000000001</v>
      </c>
      <c r="F266" s="14"/>
    </row>
    <row r="267" spans="1:6">
      <c r="A267" s="14">
        <v>45922</v>
      </c>
      <c r="B267" s="2">
        <v>112849.41</v>
      </c>
      <c r="C267" s="2">
        <v>4185.5749999999998</v>
      </c>
      <c r="D267" s="2">
        <v>219.59299999999999</v>
      </c>
      <c r="F267" s="14"/>
    </row>
    <row r="268" spans="1:6">
      <c r="A268" s="14">
        <v>45923</v>
      </c>
      <c r="B268" s="2">
        <v>112017.31</v>
      </c>
      <c r="C268" s="2">
        <v>4177.5829999999996</v>
      </c>
      <c r="D268" s="2">
        <v>215.34690000000001</v>
      </c>
      <c r="F268" s="14"/>
    </row>
    <row r="269" spans="1:6">
      <c r="A269" s="14">
        <v>45924</v>
      </c>
      <c r="B269" s="2">
        <v>113571.01</v>
      </c>
      <c r="C269" s="2">
        <v>4167.6000000000004</v>
      </c>
      <c r="D269" s="2">
        <v>212.26</v>
      </c>
      <c r="F269" s="14"/>
    </row>
    <row r="270" spans="1:6">
      <c r="A270" s="14">
        <v>45925</v>
      </c>
      <c r="B270" s="2">
        <v>109200.61</v>
      </c>
      <c r="C270" s="2">
        <v>3888.0149999999999</v>
      </c>
      <c r="D270" s="2">
        <v>196.31880000000001</v>
      </c>
      <c r="F270" s="14"/>
    </row>
    <row r="271" spans="1:6">
      <c r="A271" s="14">
        <v>45926</v>
      </c>
      <c r="B271" s="2">
        <v>109361.22</v>
      </c>
      <c r="C271" s="2">
        <v>4013.2020000000002</v>
      </c>
      <c r="D271" s="2">
        <v>200.17339999999999</v>
      </c>
      <c r="F271" s="14"/>
    </row>
    <row r="272" spans="1:6">
      <c r="A272" s="14">
        <v>45927</v>
      </c>
      <c r="B272" s="2">
        <v>109441.61</v>
      </c>
      <c r="C272" s="2">
        <v>4008.3130000000001</v>
      </c>
      <c r="D272" s="2">
        <v>202.72489999999999</v>
      </c>
      <c r="F272" s="14"/>
    </row>
    <row r="273" spans="1:6">
      <c r="A273" s="14">
        <v>45928</v>
      </c>
      <c r="B273" s="2">
        <v>110847.81</v>
      </c>
      <c r="C273" s="2">
        <v>4053.087</v>
      </c>
      <c r="D273" s="2">
        <v>206.9444</v>
      </c>
      <c r="F273" s="14"/>
    </row>
    <row r="274" spans="1:6">
      <c r="A274" s="14">
        <v>45929</v>
      </c>
      <c r="B274" s="2">
        <v>114322.62</v>
      </c>
      <c r="C274" s="2">
        <v>4228.6440000000002</v>
      </c>
      <c r="D274" s="2">
        <v>214.54929999999999</v>
      </c>
      <c r="F274" s="14"/>
    </row>
    <row r="275" spans="1:6">
      <c r="A275" s="14">
        <v>45930</v>
      </c>
      <c r="B275" s="2">
        <v>114640.81</v>
      </c>
      <c r="C275" s="2">
        <v>4195.6350000000002</v>
      </c>
      <c r="D275" s="2">
        <v>209.89850000000001</v>
      </c>
      <c r="F275" s="14"/>
    </row>
    <row r="276" spans="1:6">
      <c r="A276" s="14">
        <v>45931</v>
      </c>
      <c r="B276" s="2">
        <v>117592.31</v>
      </c>
      <c r="C276" s="2">
        <v>4337.0360000000001</v>
      </c>
      <c r="D276" s="2">
        <v>219.5728</v>
      </c>
      <c r="F276" s="14"/>
    </row>
    <row r="277" spans="1:6">
      <c r="A277" s="14">
        <v>45932</v>
      </c>
      <c r="B277" s="2">
        <v>120711.41</v>
      </c>
      <c r="C277" s="2">
        <v>4493.9979999999996</v>
      </c>
      <c r="D277" s="2">
        <v>232.73310000000001</v>
      </c>
      <c r="F277" s="14"/>
    </row>
    <row r="278" spans="1:6">
      <c r="A278" s="14">
        <v>45933</v>
      </c>
      <c r="B278" s="2">
        <v>122545.41</v>
      </c>
      <c r="C278" s="2">
        <v>4537.8559999999998</v>
      </c>
      <c r="D278" s="2">
        <v>233.066</v>
      </c>
      <c r="F278" s="14"/>
    </row>
    <row r="279" spans="1:6">
      <c r="A279" s="14">
        <v>45934</v>
      </c>
      <c r="B279" s="2">
        <v>121944.31</v>
      </c>
      <c r="C279" s="2">
        <v>4477.3530000000001</v>
      </c>
      <c r="D279" s="2">
        <v>227.42150000000001</v>
      </c>
      <c r="F279" s="14"/>
    </row>
    <row r="280" spans="1:6">
      <c r="A280" s="14">
        <v>45935</v>
      </c>
      <c r="B280" s="2">
        <v>122764.62</v>
      </c>
      <c r="C280" s="2">
        <v>4499.0219999999999</v>
      </c>
      <c r="D280" s="2">
        <v>228.07499999999999</v>
      </c>
      <c r="F280" s="14"/>
    </row>
    <row r="281" spans="1:6">
      <c r="A281" s="14">
        <v>45936</v>
      </c>
      <c r="B281" s="2">
        <v>125260.81</v>
      </c>
      <c r="C281" s="2">
        <v>4690.5209999999997</v>
      </c>
      <c r="D281" s="2">
        <v>233.75200000000001</v>
      </c>
      <c r="F281" s="14"/>
    </row>
    <row r="282" spans="1:6">
      <c r="A282" s="14">
        <v>45937</v>
      </c>
      <c r="B282" s="2">
        <v>122014.51</v>
      </c>
      <c r="C282" s="2">
        <v>4512.1670000000004</v>
      </c>
      <c r="D282" s="2">
        <v>223.613</v>
      </c>
      <c r="F282" s="14"/>
    </row>
    <row r="283" spans="1:6">
      <c r="A283" s="14">
        <v>45938</v>
      </c>
      <c r="B283" s="2">
        <v>122903.51</v>
      </c>
      <c r="C283" s="2">
        <v>4504.7790000000005</v>
      </c>
      <c r="D283" s="2">
        <v>227.7646</v>
      </c>
      <c r="F283" s="14"/>
    </row>
    <row r="284" spans="1:6">
      <c r="A284" s="14">
        <v>45939</v>
      </c>
      <c r="B284" s="2">
        <v>121175.51</v>
      </c>
      <c r="C284" s="2">
        <v>4338.8760000000002</v>
      </c>
      <c r="D284" s="2">
        <v>218.92330000000001</v>
      </c>
      <c r="F284" s="14"/>
    </row>
    <row r="285" spans="1:6">
      <c r="A285" s="14">
        <v>45940</v>
      </c>
      <c r="B285" s="2">
        <v>114341.41</v>
      </c>
      <c r="C285" s="2">
        <v>3870.002</v>
      </c>
      <c r="D285" s="2">
        <v>196.85130000000001</v>
      </c>
      <c r="F285" s="14"/>
    </row>
    <row r="286" spans="1:6">
      <c r="A286" s="14">
        <v>45941</v>
      </c>
      <c r="B286" s="2">
        <v>110395.22</v>
      </c>
      <c r="C286" s="2">
        <v>3699.8449999999998</v>
      </c>
      <c r="D286" s="2">
        <v>175.7612</v>
      </c>
      <c r="F286" s="14"/>
    </row>
    <row r="287" spans="1:6">
      <c r="A287" s="14">
        <v>45942</v>
      </c>
      <c r="B287" s="2">
        <v>115024.31</v>
      </c>
      <c r="C287" s="2">
        <v>4140.8159999999998</v>
      </c>
      <c r="D287" s="2">
        <v>197.0035</v>
      </c>
      <c r="F287" s="14"/>
    </row>
    <row r="288" spans="1:6">
      <c r="A288" s="14">
        <v>45943</v>
      </c>
      <c r="B288" s="2">
        <v>115818.41</v>
      </c>
      <c r="C288" s="2">
        <v>4291.0680000000002</v>
      </c>
      <c r="D288" s="2">
        <v>208.75280000000001</v>
      </c>
      <c r="F288" s="14"/>
    </row>
    <row r="289" spans="1:6">
      <c r="A289" s="14">
        <v>45944</v>
      </c>
      <c r="B289" s="2">
        <v>113054.72</v>
      </c>
      <c r="C289" s="2">
        <v>4120.37</v>
      </c>
      <c r="D289" s="2">
        <v>200.72470000000001</v>
      </c>
      <c r="F289" s="14"/>
    </row>
    <row r="290" spans="1:6">
      <c r="A290" s="14">
        <v>45945</v>
      </c>
      <c r="B290" s="2">
        <v>111177.01</v>
      </c>
      <c r="C290" s="2">
        <v>3963.2</v>
      </c>
      <c r="D290" s="2">
        <v>194.3486</v>
      </c>
      <c r="F290" s="14"/>
    </row>
    <row r="291" spans="1:6">
      <c r="A291" s="14">
        <v>45946</v>
      </c>
      <c r="B291" s="2">
        <v>107886.31</v>
      </c>
      <c r="C291" s="2">
        <v>3853.0390000000002</v>
      </c>
      <c r="D291" s="2">
        <v>182.9958</v>
      </c>
      <c r="F291" s="14"/>
    </row>
    <row r="292" spans="1:6">
      <c r="A292" s="14">
        <v>45947</v>
      </c>
      <c r="B292" s="2">
        <v>107048.51</v>
      </c>
      <c r="C292" s="2">
        <v>3858.835</v>
      </c>
      <c r="D292" s="2">
        <v>183.73990000000001</v>
      </c>
      <c r="F292" s="14"/>
    </row>
    <row r="293" spans="1:6">
      <c r="A293" s="14">
        <v>45948</v>
      </c>
      <c r="B293" s="2">
        <v>107071.41</v>
      </c>
      <c r="C293" s="2">
        <v>3887.9</v>
      </c>
      <c r="D293" s="2">
        <v>186.80350000000001</v>
      </c>
      <c r="F293" s="14"/>
    </row>
    <row r="294" spans="1:6">
      <c r="A294" s="14">
        <v>45949</v>
      </c>
      <c r="B294" s="2">
        <v>108907.61</v>
      </c>
      <c r="C294" s="2">
        <v>4003.88</v>
      </c>
      <c r="D294" s="2">
        <v>189.75380000000001</v>
      </c>
      <c r="F294" s="14"/>
    </row>
    <row r="295" spans="1:6">
      <c r="A295" s="14">
        <v>45950</v>
      </c>
      <c r="B295" s="2">
        <v>111128.51</v>
      </c>
      <c r="C295" s="2">
        <v>4000.145</v>
      </c>
      <c r="D295" s="2">
        <v>190.50409999999999</v>
      </c>
      <c r="F295" s="14"/>
    </row>
    <row r="296" spans="1:6">
      <c r="A296" s="14">
        <v>45951</v>
      </c>
      <c r="B296" s="2">
        <v>110857.91</v>
      </c>
      <c r="C296" s="2">
        <v>3956.8249999999998</v>
      </c>
      <c r="D296" s="2">
        <v>191.58959999999999</v>
      </c>
      <c r="F296" s="14"/>
    </row>
    <row r="297" spans="1:6">
      <c r="A297" s="14">
        <v>45952</v>
      </c>
      <c r="B297" s="2">
        <v>107689.61</v>
      </c>
      <c r="C297" s="2">
        <v>3781.3409999999999</v>
      </c>
      <c r="D297" s="2">
        <v>180.1815</v>
      </c>
      <c r="F297" s="14"/>
    </row>
    <row r="298" spans="1:6">
      <c r="A298" s="14">
        <v>45953</v>
      </c>
      <c r="B298" s="2">
        <v>109568.01</v>
      </c>
      <c r="C298" s="2">
        <v>3830.9679999999998</v>
      </c>
      <c r="D298" s="2">
        <v>188.92179999999999</v>
      </c>
      <c r="F298" s="14"/>
    </row>
    <row r="299" spans="1:6">
      <c r="A299" s="14">
        <v>45954</v>
      </c>
      <c r="B299" s="2">
        <v>110916.61</v>
      </c>
      <c r="C299" s="2">
        <v>3939.9</v>
      </c>
      <c r="D299" s="2">
        <v>193.65</v>
      </c>
      <c r="F299" s="14"/>
    </row>
    <row r="300" spans="1:6">
      <c r="A300" s="14">
        <v>45955</v>
      </c>
      <c r="B300" s="2">
        <v>111459.41</v>
      </c>
      <c r="C300" s="2">
        <v>3946.2060000000001</v>
      </c>
      <c r="D300" s="2">
        <v>194.15899999999999</v>
      </c>
      <c r="F300" s="14"/>
    </row>
    <row r="301" spans="1:6">
      <c r="A301" s="14">
        <v>45956</v>
      </c>
      <c r="B301" s="2">
        <v>113334.01</v>
      </c>
      <c r="C301" s="2">
        <v>4062.7550000000001</v>
      </c>
      <c r="D301" s="2">
        <v>197.46850000000001</v>
      </c>
      <c r="F301" s="14"/>
    </row>
    <row r="302" spans="1:6">
      <c r="A302" s="14">
        <v>45957</v>
      </c>
      <c r="B302" s="2">
        <v>114469.62</v>
      </c>
      <c r="C302" s="2">
        <v>4129.0990000000002</v>
      </c>
      <c r="D302" s="2">
        <v>198.82820000000001</v>
      </c>
      <c r="F302" s="14"/>
    </row>
    <row r="303" spans="1:6">
      <c r="A303" s="14">
        <v>45958</v>
      </c>
      <c r="B303" s="2">
        <v>112832.31</v>
      </c>
      <c r="C303" s="2">
        <v>3980.3510000000001</v>
      </c>
      <c r="D303" s="2">
        <v>192.554</v>
      </c>
      <c r="F303" s="14"/>
    </row>
    <row r="304" spans="1:6">
      <c r="A304" s="14">
        <v>45959</v>
      </c>
      <c r="B304" s="2">
        <v>111451.31</v>
      </c>
      <c r="C304" s="2">
        <v>3952.25</v>
      </c>
      <c r="D304" s="2">
        <v>195.6438</v>
      </c>
      <c r="F304" s="14"/>
    </row>
    <row r="305" spans="1:6">
      <c r="A305" s="14">
        <v>45960</v>
      </c>
      <c r="B305" s="2">
        <v>107508.72</v>
      </c>
      <c r="C305" s="2">
        <v>3756.8850000000002</v>
      </c>
      <c r="D305" s="2">
        <v>182.24799999999999</v>
      </c>
      <c r="F305" s="14"/>
    </row>
    <row r="306" spans="1:6">
      <c r="A306" s="14">
        <v>45961</v>
      </c>
      <c r="B306" s="2">
        <v>109428.01</v>
      </c>
      <c r="C306" s="2">
        <v>3859.7719999999999</v>
      </c>
      <c r="D306" s="2">
        <v>186.85839999999999</v>
      </c>
      <c r="F306" s="14"/>
    </row>
    <row r="307" spans="1:6">
      <c r="A307" s="14">
        <v>45962</v>
      </c>
      <c r="B307" s="2">
        <v>110377.51</v>
      </c>
      <c r="C307" s="2">
        <v>3880.8009999999999</v>
      </c>
      <c r="D307" s="2">
        <v>186.5292</v>
      </c>
      <c r="F307" s="14"/>
    </row>
    <row r="308" spans="1:6">
      <c r="A308" s="14">
        <v>45963</v>
      </c>
      <c r="B308" s="2">
        <v>109992.01</v>
      </c>
      <c r="C308" s="2">
        <v>3861.1979999999999</v>
      </c>
      <c r="D308" s="2">
        <v>185.51769999999999</v>
      </c>
      <c r="F308" s="14"/>
    </row>
    <row r="309" spans="1:6">
      <c r="A309" s="14">
        <v>45964</v>
      </c>
      <c r="B309" s="2">
        <v>106866.61</v>
      </c>
      <c r="C309" s="2">
        <v>3601.3649999999998</v>
      </c>
      <c r="D309" s="2">
        <v>165.90600000000001</v>
      </c>
      <c r="F309" s="14"/>
    </row>
    <row r="310" spans="1:6">
      <c r="A310" s="14">
        <v>45965</v>
      </c>
      <c r="B310" s="2">
        <v>100265.51</v>
      </c>
      <c r="C310" s="2">
        <v>3213.4380000000001</v>
      </c>
      <c r="D310" s="2">
        <v>151.07050000000001</v>
      </c>
      <c r="F310" s="14"/>
    </row>
    <row r="311" spans="1:6">
      <c r="A311" s="14">
        <v>45966</v>
      </c>
      <c r="B311" s="2">
        <v>103659.22</v>
      </c>
      <c r="C311" s="2">
        <v>3442.2220000000002</v>
      </c>
      <c r="D311" s="2">
        <v>161.90450000000001</v>
      </c>
      <c r="F311" s="14"/>
    </row>
    <row r="312" spans="1:6">
      <c r="A312" s="14">
        <v>45967</v>
      </c>
      <c r="B312" s="2">
        <v>101080.61</v>
      </c>
      <c r="C312" s="2">
        <v>3324.873</v>
      </c>
      <c r="D312" s="2">
        <v>156.4495</v>
      </c>
      <c r="F312" s="14"/>
    </row>
    <row r="313" spans="1:6">
      <c r="A313" s="14">
        <v>45968</v>
      </c>
      <c r="B313" s="2">
        <v>103837.91</v>
      </c>
      <c r="C313" s="2">
        <v>3467.732</v>
      </c>
      <c r="D313" s="2">
        <v>163.4725</v>
      </c>
      <c r="F313" s="14"/>
    </row>
    <row r="314" spans="1:6">
      <c r="A314" s="14">
        <v>45969</v>
      </c>
      <c r="B314" s="2">
        <v>102254.51</v>
      </c>
      <c r="C314" s="2">
        <v>3405.857</v>
      </c>
      <c r="D314" s="2">
        <v>157.99010000000001</v>
      </c>
      <c r="F314" s="14"/>
    </row>
    <row r="315" spans="1:6">
      <c r="A315" s="14">
        <v>45970</v>
      </c>
      <c r="B315" s="2">
        <v>104512.22</v>
      </c>
      <c r="C315" s="2">
        <v>3580.7179999999998</v>
      </c>
      <c r="D315" s="2">
        <v>165.19980000000001</v>
      </c>
      <c r="F315" s="14"/>
    </row>
    <row r="316" spans="1:6">
      <c r="A316" s="14">
        <v>45971</v>
      </c>
      <c r="B316" s="2">
        <v>105603.81</v>
      </c>
      <c r="C316" s="2">
        <v>3540.6149999999998</v>
      </c>
      <c r="D316" s="2">
        <v>165.4855</v>
      </c>
      <c r="F316" s="14"/>
    </row>
    <row r="317" spans="1:6">
      <c r="A317" s="14">
        <v>45972</v>
      </c>
      <c r="B317" s="2">
        <v>102606.22</v>
      </c>
      <c r="C317" s="2">
        <v>3416.4549999999999</v>
      </c>
      <c r="D317" s="2">
        <v>156.14500000000001</v>
      </c>
      <c r="F317" s="14"/>
    </row>
    <row r="318" spans="1:6">
      <c r="A318" s="14">
        <v>45973</v>
      </c>
      <c r="B318" s="2">
        <v>101900.31</v>
      </c>
      <c r="C318" s="2">
        <v>3422.415</v>
      </c>
      <c r="D318" s="2">
        <v>154.08750000000001</v>
      </c>
      <c r="F318" s="14"/>
    </row>
    <row r="319" spans="1:6">
      <c r="A319" s="14">
        <v>45974</v>
      </c>
      <c r="B319" s="2">
        <v>98756.81</v>
      </c>
      <c r="C319" s="2">
        <v>3178.038</v>
      </c>
      <c r="D319" s="2">
        <v>142.066</v>
      </c>
      <c r="F319" s="14"/>
    </row>
    <row r="320" spans="1:6">
      <c r="A320" s="14">
        <v>45975</v>
      </c>
      <c r="B320" s="2">
        <v>94976.639999999999</v>
      </c>
      <c r="C320" s="2">
        <v>3165</v>
      </c>
      <c r="D320" s="2">
        <v>140.56970000000001</v>
      </c>
      <c r="F320" s="14"/>
    </row>
    <row r="321" spans="1:6">
      <c r="A321" s="14">
        <v>45976</v>
      </c>
      <c r="B321" s="2">
        <v>95212.87</v>
      </c>
      <c r="C321" s="2">
        <v>3156.0650000000001</v>
      </c>
      <c r="D321" s="2">
        <v>138.94499999999999</v>
      </c>
      <c r="F321" s="14"/>
    </row>
    <row r="322" spans="1:6">
      <c r="A322" s="14">
        <v>45977</v>
      </c>
      <c r="B322" s="2">
        <v>93430.98</v>
      </c>
      <c r="C322" s="2">
        <v>3071.8049999999998</v>
      </c>
      <c r="D322" s="2">
        <v>136.32730000000001</v>
      </c>
      <c r="F322" s="14"/>
    </row>
    <row r="323" spans="1:6">
      <c r="A323" s="14">
        <v>45978</v>
      </c>
      <c r="B323" s="2">
        <v>91826.57</v>
      </c>
      <c r="C323" s="2">
        <v>3005.828</v>
      </c>
      <c r="D323" s="2">
        <v>130.5694</v>
      </c>
      <c r="F323" s="14"/>
    </row>
    <row r="324" spans="1:6">
      <c r="A324" s="14">
        <v>45979</v>
      </c>
      <c r="B324" s="2">
        <v>92452.39</v>
      </c>
      <c r="C324" s="2">
        <v>3096.9450000000002</v>
      </c>
      <c r="D324" s="2">
        <v>139.74760000000001</v>
      </c>
      <c r="F324" s="14"/>
    </row>
    <row r="325" spans="1:6">
      <c r="A325" s="14">
        <v>45980</v>
      </c>
      <c r="B325" s="2">
        <v>90506.32</v>
      </c>
      <c r="C325" s="2">
        <v>2989.1149999999998</v>
      </c>
      <c r="D325" s="2">
        <v>135.31800000000001</v>
      </c>
      <c r="F325" s="14"/>
    </row>
    <row r="326" spans="1:6">
      <c r="A326" s="14">
        <v>45981</v>
      </c>
      <c r="B326" s="2">
        <v>87205.26</v>
      </c>
      <c r="C326" s="2">
        <v>2876.18</v>
      </c>
      <c r="D326" s="2">
        <v>134.07380000000001</v>
      </c>
      <c r="F326" s="14"/>
    </row>
    <row r="327" spans="1:6">
      <c r="A327" s="14">
        <v>45982</v>
      </c>
      <c r="B327" s="2">
        <v>85123.35</v>
      </c>
      <c r="C327" s="2">
        <v>2765.36</v>
      </c>
      <c r="D327" s="2">
        <v>128.80789999999999</v>
      </c>
      <c r="F327" s="14"/>
    </row>
    <row r="328" spans="1:6">
      <c r="A328" s="14">
        <v>45983</v>
      </c>
      <c r="B328" s="2">
        <v>84358.09</v>
      </c>
      <c r="C328" s="2">
        <v>2746.14</v>
      </c>
      <c r="D328" s="2">
        <v>126.559</v>
      </c>
      <c r="F328" s="14"/>
    </row>
    <row r="329" spans="1:6">
      <c r="A329" s="14">
        <v>45984</v>
      </c>
      <c r="B329" s="2">
        <v>87966.1</v>
      </c>
      <c r="C329" s="2">
        <v>2841.2620000000002</v>
      </c>
      <c r="D329" s="2">
        <v>133.1293</v>
      </c>
      <c r="F329" s="14"/>
    </row>
    <row r="330" spans="1:6">
      <c r="A330" s="14">
        <v>45985</v>
      </c>
      <c r="B330" s="2">
        <v>88763.7</v>
      </c>
      <c r="C330" s="2">
        <v>2958.817</v>
      </c>
      <c r="D330" s="2">
        <v>138.95349999999999</v>
      </c>
      <c r="F330" s="14"/>
    </row>
    <row r="331" spans="1:6">
      <c r="A331" s="14">
        <v>45986</v>
      </c>
      <c r="B331" s="2">
        <v>87002.26</v>
      </c>
      <c r="C331" s="2">
        <v>2930.348</v>
      </c>
      <c r="D331" s="2">
        <v>137.1919</v>
      </c>
      <c r="F331" s="14"/>
    </row>
    <row r="332" spans="1:6">
      <c r="A332" s="14">
        <v>45987</v>
      </c>
      <c r="B332" s="2">
        <v>90189.32</v>
      </c>
      <c r="C332" s="2">
        <v>3022.145</v>
      </c>
      <c r="D332" s="2">
        <v>143.5574</v>
      </c>
      <c r="F332" s="14"/>
    </row>
    <row r="333" spans="1:6">
      <c r="A333" s="14">
        <v>45988</v>
      </c>
      <c r="B333" s="2">
        <v>91410.67</v>
      </c>
      <c r="C333" s="2">
        <v>3032.7570000000001</v>
      </c>
      <c r="D333" s="2">
        <v>141.952</v>
      </c>
      <c r="F333" s="14"/>
    </row>
    <row r="334" spans="1:6">
      <c r="A334" s="14">
        <v>45989</v>
      </c>
      <c r="B334" s="2">
        <v>90914.64</v>
      </c>
      <c r="C334" s="2">
        <v>3037.752</v>
      </c>
      <c r="D334" s="2">
        <v>137.4795</v>
      </c>
      <c r="F334" s="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FD51-B927-4AA3-A1E1-B07EC41A1E7C}">
  <dimension ref="A1:D5"/>
  <sheetViews>
    <sheetView workbookViewId="0">
      <selection activeCell="G4" sqref="G4"/>
    </sheetView>
  </sheetViews>
  <sheetFormatPr defaultRowHeight="15"/>
  <cols>
    <col min="1" max="1" width="10.42578125" style="2" bestFit="1" customWidth="1"/>
    <col min="2" max="2" width="16.42578125" style="2" customWidth="1"/>
    <col min="3" max="3" width="15" style="2" customWidth="1"/>
    <col min="4" max="4" width="11.5703125" style="2" customWidth="1"/>
    <col min="5" max="16384" width="9.140625" style="2"/>
  </cols>
  <sheetData>
    <row r="1" spans="1:4">
      <c r="A1" s="2" t="s">
        <v>3</v>
      </c>
      <c r="B1" s="2" t="s">
        <v>4</v>
      </c>
      <c r="C1" s="2" t="s">
        <v>5</v>
      </c>
      <c r="D1" s="2" t="s">
        <v>6</v>
      </c>
    </row>
    <row r="2" spans="1:4">
      <c r="A2" s="1">
        <v>45657</v>
      </c>
      <c r="B2" s="7">
        <f>'31122024'!C2</f>
        <v>1000000</v>
      </c>
      <c r="C2" s="9">
        <v>0</v>
      </c>
      <c r="D2" s="9">
        <f>B2/$B$2-1</f>
        <v>0</v>
      </c>
    </row>
    <row r="3" spans="1:4">
      <c r="A3" s="1">
        <v>45688</v>
      </c>
      <c r="B3" s="7">
        <f>'31012025'!C2</f>
        <v>1091845.6239925181</v>
      </c>
      <c r="C3" s="10">
        <f>B3/B2-1</f>
        <v>9.1845623992518055E-2</v>
      </c>
      <c r="D3" s="10">
        <f>B3/$B$2-1</f>
        <v>9.1845623992518055E-2</v>
      </c>
    </row>
    <row r="4" spans="1:4">
      <c r="A4" s="1">
        <v>45716</v>
      </c>
      <c r="B4" s="7">
        <f>'28022025'!C2</f>
        <v>777572.0251314037</v>
      </c>
      <c r="C4" s="10">
        <f>B4/B3-1</f>
        <v>-0.28783702746540285</v>
      </c>
      <c r="D4" s="10">
        <f>B4/$B$2-1</f>
        <v>-0.22242797486859633</v>
      </c>
    </row>
    <row r="5" spans="1:4">
      <c r="A5" s="1">
        <v>45747</v>
      </c>
      <c r="B5" s="7">
        <f>'31032025'!C2</f>
        <v>685868.54703440308</v>
      </c>
      <c r="C5" s="10">
        <f t="shared" ref="C4:C5" si="0">B5/B4-1</f>
        <v>-0.11793567043709352</v>
      </c>
      <c r="D5" s="10">
        <f>B5/$B$2-1</f>
        <v>-0.31413145296559697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8C76-9CD3-4A36-9799-966E6579679F}">
  <dimension ref="B1:F8"/>
  <sheetViews>
    <sheetView workbookViewId="0">
      <selection activeCell="D20" sqref="D20"/>
    </sheetView>
  </sheetViews>
  <sheetFormatPr defaultRowHeight="15"/>
  <cols>
    <col min="1" max="1" width="9.140625" style="2"/>
    <col min="2" max="2" width="17" style="2" customWidth="1"/>
    <col min="3" max="5" width="12.5703125" style="2" customWidth="1"/>
    <col min="6" max="6" width="11.85546875" style="2" customWidth="1"/>
    <col min="7" max="16384" width="9.140625" style="2"/>
  </cols>
  <sheetData>
    <row r="1" spans="2:6">
      <c r="B1" s="2" t="s">
        <v>3</v>
      </c>
      <c r="C1" s="1">
        <v>45657</v>
      </c>
    </row>
    <row r="2" spans="2:6">
      <c r="B2" s="2" t="s">
        <v>7</v>
      </c>
      <c r="C2" s="3">
        <v>1000000</v>
      </c>
    </row>
    <row r="3" spans="2:6">
      <c r="B3" s="2" t="s">
        <v>8</v>
      </c>
      <c r="C3" s="12" t="s">
        <v>9</v>
      </c>
    </row>
    <row r="5" spans="2:6">
      <c r="B5" s="2" t="s">
        <v>10</v>
      </c>
      <c r="C5" s="2" t="s">
        <v>11</v>
      </c>
      <c r="D5" s="2" t="s">
        <v>12</v>
      </c>
      <c r="E5" s="2" t="s">
        <v>13</v>
      </c>
      <c r="F5" s="6" t="s">
        <v>14</v>
      </c>
    </row>
    <row r="6" spans="2:6">
      <c r="B6" s="2" t="s">
        <v>0</v>
      </c>
      <c r="C6" s="5">
        <f>1/COUNTIF($B$6:$B$8,"&lt;&gt;"&amp;"")</f>
        <v>0.33333333333333331</v>
      </c>
      <c r="D6" s="6">
        <f>INDEX('Close price'!$A$1:$D$400,
       MATCH($C$1, 'Close price'!$A$1:$A$400, 0),
       MATCH(B6, 'Close price'!$A$1:$D$1, 0))</f>
        <v>93714.04</v>
      </c>
      <c r="E6" s="4">
        <f>($C$2*C6)/D6</f>
        <v>3.556919895176148</v>
      </c>
      <c r="F6" s="8">
        <f>E6*D6</f>
        <v>333333.33333333331</v>
      </c>
    </row>
    <row r="7" spans="2:6">
      <c r="B7" s="2" t="s">
        <v>1</v>
      </c>
      <c r="C7" s="5">
        <f>1/COUNTIF($B$6:$B$8,"&lt;&gt;"&amp;"")</f>
        <v>0.33333333333333331</v>
      </c>
      <c r="D7" s="6">
        <f>INDEX('Close price'!$A$1:$D$400,
       MATCH($C$1, 'Close price'!$A$1:$A$400, 0),
       MATCH(B7, 'Close price'!$A$1:$D$1, 0))</f>
        <v>3346.4859999999999</v>
      </c>
      <c r="E7" s="4">
        <f>($C$2*C7)/D7</f>
        <v>99.606970814559901</v>
      </c>
      <c r="F7" s="8">
        <f t="shared" ref="F7:F8" si="0">E7*D7</f>
        <v>333333.33333333331</v>
      </c>
    </row>
    <row r="8" spans="2:6">
      <c r="B8" s="2" t="s">
        <v>2</v>
      </c>
      <c r="C8" s="5">
        <f>1/COUNTIF($B$6:$B$8,"&lt;&gt;"&amp;"")</f>
        <v>0.33333333333333331</v>
      </c>
      <c r="D8" s="6">
        <f>INDEX('Close price'!$A$1:$D$400,
       MATCH($C$1, 'Close price'!$A$1:$A$400, 0),
       MATCH(B8, 'Close price'!$A$1:$D$1, 0))</f>
        <v>192.7235</v>
      </c>
      <c r="E8" s="4">
        <f>($C$2*C8)/D8</f>
        <v>1729.5936060383572</v>
      </c>
      <c r="F8" s="8">
        <f t="shared" si="0"/>
        <v>333333.33333333331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7603-8C7F-48FA-B24A-F739858E5591}">
  <dimension ref="B1:M14"/>
  <sheetViews>
    <sheetView workbookViewId="0">
      <selection activeCell="C3" sqref="C3"/>
    </sheetView>
  </sheetViews>
  <sheetFormatPr defaultRowHeight="15"/>
  <cols>
    <col min="1" max="1" width="9.140625" style="2"/>
    <col min="2" max="2" width="17" style="2" customWidth="1"/>
    <col min="3" max="3" width="18.28515625" style="2" customWidth="1"/>
    <col min="4" max="4" width="17.85546875" style="2" customWidth="1"/>
    <col min="5" max="5" width="15.140625" style="2" customWidth="1"/>
    <col min="6" max="6" width="18.85546875" style="2" customWidth="1"/>
    <col min="7" max="7" width="12.7109375" style="2" customWidth="1"/>
    <col min="8" max="8" width="14.140625" style="2" customWidth="1"/>
    <col min="9" max="9" width="15.28515625" style="2" customWidth="1"/>
    <col min="10" max="10" width="13.42578125" style="2" customWidth="1"/>
    <col min="11" max="11" width="22.85546875" style="2" bestFit="1" customWidth="1"/>
    <col min="12" max="12" width="16.28515625" style="2" customWidth="1"/>
    <col min="13" max="13" width="19.42578125" style="2" customWidth="1"/>
    <col min="14" max="16384" width="9.140625" style="2"/>
  </cols>
  <sheetData>
    <row r="1" spans="2:13">
      <c r="B1" s="2" t="s">
        <v>3</v>
      </c>
      <c r="C1" s="1">
        <v>45688</v>
      </c>
    </row>
    <row r="2" spans="2:13">
      <c r="B2" s="2" t="s">
        <v>7</v>
      </c>
      <c r="C2" s="3">
        <f>SUM(I6:I8)</f>
        <v>1091845.6239925181</v>
      </c>
      <c r="E2" s="15" t="s">
        <v>15</v>
      </c>
      <c r="F2" s="15"/>
      <c r="G2" s="7">
        <f>SUM($M$6:$M$8)</f>
        <v>1091845.6239925181</v>
      </c>
      <c r="I2" s="15" t="s">
        <v>16</v>
      </c>
      <c r="J2" s="15"/>
      <c r="K2" s="15"/>
      <c r="L2" s="15"/>
      <c r="M2" s="2" t="b">
        <f>G2=C2</f>
        <v>1</v>
      </c>
    </row>
    <row r="3" spans="2:13">
      <c r="B3" s="2" t="s">
        <v>8</v>
      </c>
      <c r="C3" s="12" t="s">
        <v>9</v>
      </c>
    </row>
    <row r="5" spans="2:13">
      <c r="B5" s="2" t="s">
        <v>10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5</v>
      </c>
      <c r="I5" s="6" t="s">
        <v>22</v>
      </c>
      <c r="J5" s="6" t="s">
        <v>23</v>
      </c>
      <c r="K5" s="2" t="s">
        <v>24</v>
      </c>
      <c r="L5" s="6" t="s">
        <v>25</v>
      </c>
      <c r="M5" s="2" t="s">
        <v>26</v>
      </c>
    </row>
    <row r="6" spans="2:13">
      <c r="B6" s="2" t="s">
        <v>0</v>
      </c>
      <c r="C6" s="5">
        <f>'31122024'!C6</f>
        <v>0.33333333333333331</v>
      </c>
      <c r="D6" s="5">
        <f>'31122024'!E6</f>
        <v>3.556919895176148</v>
      </c>
      <c r="E6" s="6">
        <f>'31122024'!D6</f>
        <v>93714.04</v>
      </c>
      <c r="F6" s="13">
        <f>'31122024'!F6</f>
        <v>333333.33333333331</v>
      </c>
      <c r="G6" s="6">
        <f>INDEX('Close price'!$A$1:$D$400,
       MATCH($C$1, 'Close price'!$A$1:$A$400, 0),
       MATCH(B6, 'Close price'!$A$1:$D$1, 0))</f>
        <v>102110.01</v>
      </c>
      <c r="H6" s="11">
        <f>G6/E6-1</f>
        <v>8.9591378196906213E-2</v>
      </c>
      <c r="I6" s="3">
        <f>F6*(1+H6)</f>
        <v>363197.12606563536</v>
      </c>
      <c r="J6" s="11">
        <f>I6/$C$2</f>
        <v>0.33264512682437986</v>
      </c>
      <c r="K6" s="5">
        <f>1/COUNTIF($B$6:$B$8,"&lt;&gt;"&amp;"")</f>
        <v>0.33333333333333331</v>
      </c>
      <c r="L6" s="4">
        <f>($C$2*K6)/G6</f>
        <v>3.5642787747336362</v>
      </c>
      <c r="M6" s="3">
        <f>L6*G6</f>
        <v>363948.54133083933</v>
      </c>
    </row>
    <row r="7" spans="2:13">
      <c r="B7" s="2" t="s">
        <v>1</v>
      </c>
      <c r="C7" s="5">
        <f>'31122024'!C7</f>
        <v>0.33333333333333331</v>
      </c>
      <c r="D7" s="5">
        <f>'31122024'!E7</f>
        <v>99.606970814559901</v>
      </c>
      <c r="E7" s="6">
        <f>'31122024'!D7</f>
        <v>3346.4859999999999</v>
      </c>
      <c r="F7" s="13">
        <f>'31122024'!F7</f>
        <v>333333.33333333331</v>
      </c>
      <c r="G7" s="6">
        <f>INDEX('Close price'!$A$1:$D$400,
       MATCH($C$1, 'Close price'!$A$1:$A$400, 0),
       MATCH(B7, 'Close price'!$A$1:$D$1, 0))</f>
        <v>3318.22</v>
      </c>
      <c r="H7" s="11">
        <f t="shared" ref="H7:H8" si="0">G7/E7-1</f>
        <v>-8.4464719111331243E-3</v>
      </c>
      <c r="I7" s="3">
        <f>F7*(1+H7)</f>
        <v>330517.84269628895</v>
      </c>
      <c r="J7" s="11">
        <f t="shared" ref="J7:J8" si="1">I7/$C$2</f>
        <v>0.30271481190508837</v>
      </c>
      <c r="K7" s="5">
        <f t="shared" ref="K7:K8" si="2">1/COUNTIF($B$6:$B$8,"&lt;&gt;"&amp;"")</f>
        <v>0.33333333333333331</v>
      </c>
      <c r="L7" s="4">
        <f t="shared" ref="L7:L8" si="3">($C$2*K7)/G7</f>
        <v>109.68185995227542</v>
      </c>
      <c r="M7" s="3">
        <f t="shared" ref="M7:M8" si="4">L7*G7</f>
        <v>363948.54133083933</v>
      </c>
    </row>
    <row r="8" spans="2:13">
      <c r="B8" s="2" t="s">
        <v>2</v>
      </c>
      <c r="C8" s="5">
        <f>'31122024'!C8</f>
        <v>0.33333333333333331</v>
      </c>
      <c r="D8" s="5">
        <f>'31122024'!E8</f>
        <v>1729.5936060383572</v>
      </c>
      <c r="E8" s="6">
        <f>'31122024'!D8</f>
        <v>192.7235</v>
      </c>
      <c r="F8" s="13">
        <f>'31122024'!F8</f>
        <v>333333.33333333331</v>
      </c>
      <c r="G8" s="6">
        <f>INDEX('Close price'!$A$1:$D$400,
       MATCH($C$1, 'Close price'!$A$1:$A$400, 0),
       MATCH(B8, 'Close price'!$A$1:$D$1, 0))</f>
        <v>230.1874</v>
      </c>
      <c r="H8" s="11">
        <f t="shared" si="0"/>
        <v>0.19439196569178119</v>
      </c>
      <c r="I8" s="3">
        <f>F8*(1+H8)</f>
        <v>398130.65523059369</v>
      </c>
      <c r="J8" s="11">
        <f t="shared" si="1"/>
        <v>0.36464006127053167</v>
      </c>
      <c r="K8" s="5">
        <f t="shared" si="2"/>
        <v>0.33333333333333331</v>
      </c>
      <c r="L8" s="4">
        <f t="shared" si="3"/>
        <v>1581.0967122042273</v>
      </c>
      <c r="M8" s="3">
        <f t="shared" si="4"/>
        <v>363948.54133083933</v>
      </c>
    </row>
    <row r="14" spans="2:13">
      <c r="C14" s="10"/>
    </row>
  </sheetData>
  <mergeCells count="2">
    <mergeCell ref="E2:F2"/>
    <mergeCell ref="I2:L2"/>
  </mergeCells>
  <conditionalFormatting sqref="M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" priority="2" operator="equal">
      <formula>TRUE</formula>
    </cfRule>
    <cfRule type="cellIs" dxfId="4" priority="1" operator="equal">
      <formula>FALSE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3F11-24C7-456B-BE38-B7DD54E0EB4F}">
  <dimension ref="B1:M8"/>
  <sheetViews>
    <sheetView workbookViewId="0">
      <selection activeCell="G6" sqref="G6:G8"/>
    </sheetView>
  </sheetViews>
  <sheetFormatPr defaultRowHeight="15"/>
  <cols>
    <col min="1" max="1" width="9.140625" style="2"/>
    <col min="2" max="2" width="17" style="2" customWidth="1"/>
    <col min="3" max="3" width="18.28515625" style="2" customWidth="1"/>
    <col min="4" max="4" width="17.85546875" style="2" customWidth="1"/>
    <col min="5" max="5" width="15.140625" style="2" customWidth="1"/>
    <col min="6" max="6" width="18.85546875" style="2" customWidth="1"/>
    <col min="7" max="7" width="17.5703125" style="2" bestFit="1" customWidth="1"/>
    <col min="8" max="8" width="14.140625" style="2" customWidth="1"/>
    <col min="9" max="9" width="15.28515625" style="2" customWidth="1"/>
    <col min="10" max="10" width="13.42578125" style="2" customWidth="1"/>
    <col min="11" max="11" width="22.85546875" style="2" bestFit="1" customWidth="1"/>
    <col min="12" max="12" width="16.28515625" style="2" customWidth="1"/>
    <col min="13" max="13" width="19.42578125" style="2" customWidth="1"/>
    <col min="14" max="16384" width="9.140625" style="2"/>
  </cols>
  <sheetData>
    <row r="1" spans="2:13">
      <c r="B1" s="2" t="s">
        <v>3</v>
      </c>
      <c r="C1" s="1">
        <v>45716</v>
      </c>
    </row>
    <row r="2" spans="2:13">
      <c r="B2" s="2" t="s">
        <v>7</v>
      </c>
      <c r="C2" s="3">
        <f>SUM(I6:I8)</f>
        <v>777572.0251314037</v>
      </c>
      <c r="E2" s="15" t="s">
        <v>15</v>
      </c>
      <c r="F2" s="15"/>
      <c r="G2" s="7">
        <f>SUM($M$6:$M$8)</f>
        <v>777572.0251314037</v>
      </c>
      <c r="I2" s="15" t="s">
        <v>16</v>
      </c>
      <c r="J2" s="15"/>
      <c r="K2" s="15"/>
      <c r="L2" s="15"/>
      <c r="M2" s="2" t="b">
        <f>G2=C2</f>
        <v>1</v>
      </c>
    </row>
    <row r="3" spans="2:13">
      <c r="B3" s="2" t="s">
        <v>8</v>
      </c>
      <c r="C3" s="12" t="s">
        <v>9</v>
      </c>
    </row>
    <row r="5" spans="2:13">
      <c r="B5" s="2" t="s">
        <v>10</v>
      </c>
      <c r="C5" s="2" t="s">
        <v>17</v>
      </c>
      <c r="D5" s="2" t="s">
        <v>18</v>
      </c>
      <c r="E5" s="2" t="s">
        <v>19</v>
      </c>
      <c r="F5" s="2" t="s">
        <v>20</v>
      </c>
      <c r="G5" s="6" t="s">
        <v>21</v>
      </c>
      <c r="H5" s="2" t="s">
        <v>5</v>
      </c>
      <c r="I5" s="6" t="s">
        <v>22</v>
      </c>
      <c r="J5" s="6" t="s">
        <v>23</v>
      </c>
      <c r="K5" s="2" t="s">
        <v>24</v>
      </c>
      <c r="L5" s="6" t="s">
        <v>25</v>
      </c>
      <c r="M5" s="2" t="s">
        <v>26</v>
      </c>
    </row>
    <row r="6" spans="2:13">
      <c r="B6" s="2" t="s">
        <v>0</v>
      </c>
      <c r="C6" s="5">
        <f>'31012025'!C6</f>
        <v>0.33333333333333331</v>
      </c>
      <c r="D6" s="5">
        <f>'31012025'!L6</f>
        <v>3.5642787747336362</v>
      </c>
      <c r="E6" s="5">
        <f>'31012025'!G6</f>
        <v>102110.01</v>
      </c>
      <c r="F6" s="13">
        <f>'31012025'!M6</f>
        <v>363948.54133083933</v>
      </c>
      <c r="G6" s="6">
        <f>INDEX('Close price'!$A$1:$D$400,
       MATCH($C$1, 'Close price'!$A$1:$A$400, 0),
       MATCH(B6, 'Close price'!$A$1:$D$1, 0))</f>
        <v>84212.07</v>
      </c>
      <c r="H6" s="11">
        <f>G6/E6-1</f>
        <v>-0.1752809543354269</v>
      </c>
      <c r="I6" s="3">
        <f>F6*(1+H6)</f>
        <v>300155.29367738328</v>
      </c>
      <c r="J6" s="11">
        <f>I6/$C$2</f>
        <v>0.38601606536276734</v>
      </c>
      <c r="K6" s="5">
        <f>1/COUNTIF($B$6:$B$8,"&lt;&gt;"&amp;"")</f>
        <v>0.33333333333333331</v>
      </c>
      <c r="L6" s="4">
        <f>($C$2*K6)/G6</f>
        <v>3.077832845621788</v>
      </c>
      <c r="M6" s="3">
        <f>L6*G6</f>
        <v>259190.67504380122</v>
      </c>
    </row>
    <row r="7" spans="2:13">
      <c r="B7" s="2" t="s">
        <v>1</v>
      </c>
      <c r="C7" s="5">
        <f>'31012025'!C7</f>
        <v>0.33333333333333331</v>
      </c>
      <c r="D7" s="5">
        <f>'31012025'!L7</f>
        <v>109.68185995227542</v>
      </c>
      <c r="E7" s="5">
        <f>'31012025'!G7</f>
        <v>3318.22</v>
      </c>
      <c r="F7" s="13">
        <f>'31012025'!M7</f>
        <v>363948.54133083933</v>
      </c>
      <c r="G7" s="6">
        <f>INDEX('Close price'!$A$1:$D$400,
       MATCH($C$1, 'Close price'!$A$1:$A$400, 0),
       MATCH(B7, 'Close price'!$A$1:$D$1, 0))</f>
        <v>2224.0079999999998</v>
      </c>
      <c r="H7" s="11">
        <f t="shared" ref="H7:H8" si="0">G7/E7-1</f>
        <v>-0.32975872606397405</v>
      </c>
      <c r="I7" s="3">
        <f t="shared" ref="I7:I8" si="1">F7*(1+H7)</f>
        <v>243933.33398874014</v>
      </c>
      <c r="J7" s="11">
        <f t="shared" ref="J7:J8" si="2">I7/$C$2</f>
        <v>0.31371156125057004</v>
      </c>
      <c r="K7" s="5">
        <f t="shared" ref="K7:K8" si="3">1/COUNTIF($B$6:$B$8,"&lt;&gt;"&amp;"")</f>
        <v>0.33333333333333331</v>
      </c>
      <c r="L7" s="4">
        <f t="shared" ref="L7:L8" si="4">($C$2*K7)/G7</f>
        <v>116.54215049757072</v>
      </c>
      <c r="M7" s="3">
        <f t="shared" ref="M7:M8" si="5">L7*G7</f>
        <v>259190.67504380122</v>
      </c>
    </row>
    <row r="8" spans="2:13">
      <c r="B8" s="2" t="s">
        <v>2</v>
      </c>
      <c r="C8" s="5">
        <f>'31012025'!C8</f>
        <v>0.33333333333333331</v>
      </c>
      <c r="D8" s="5">
        <f>'31012025'!L8</f>
        <v>1581.0967122042273</v>
      </c>
      <c r="E8" s="5">
        <f>'31012025'!G8</f>
        <v>230.1874</v>
      </c>
      <c r="F8" s="13">
        <f>'31012025'!M8</f>
        <v>363948.54133083933</v>
      </c>
      <c r="G8" s="6">
        <f>INDEX('Close price'!$A$1:$D$400,
       MATCH($C$1, 'Close price'!$A$1:$A$400, 0),
       MATCH(B8, 'Close price'!$A$1:$D$1, 0))</f>
        <v>147.67179999999999</v>
      </c>
      <c r="H8" s="11">
        <f t="shared" si="0"/>
        <v>-0.35847140199680783</v>
      </c>
      <c r="I8" s="3">
        <f t="shared" si="1"/>
        <v>233483.3974652802</v>
      </c>
      <c r="J8" s="11">
        <f t="shared" si="2"/>
        <v>0.30027237338666252</v>
      </c>
      <c r="K8" s="5">
        <f t="shared" si="3"/>
        <v>0.33333333333333331</v>
      </c>
      <c r="L8" s="4">
        <f t="shared" si="4"/>
        <v>1755.1805764120247</v>
      </c>
      <c r="M8" s="3">
        <f t="shared" si="5"/>
        <v>259190.67504380122</v>
      </c>
    </row>
  </sheetData>
  <mergeCells count="2">
    <mergeCell ref="E2:F2"/>
    <mergeCell ref="I2:L2"/>
  </mergeCells>
  <conditionalFormatting sqref="M2">
    <cfRule type="cellIs" dxfId="3" priority="1" operator="equal">
      <formula>FALSE</formula>
    </cfRule>
    <cfRule type="cellIs" dxfId="2" priority="2" operator="equal">
      <formula>TRUE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49E68-4193-4A5C-83E4-70D27AA96804}">
  <dimension ref="B1:M8"/>
  <sheetViews>
    <sheetView workbookViewId="0">
      <selection activeCell="J18" sqref="J18"/>
    </sheetView>
  </sheetViews>
  <sheetFormatPr defaultRowHeight="15"/>
  <cols>
    <col min="1" max="1" width="9.140625" style="2"/>
    <col min="2" max="2" width="17" style="2" customWidth="1"/>
    <col min="3" max="3" width="18.28515625" style="2" customWidth="1"/>
    <col min="4" max="4" width="17.85546875" style="2" customWidth="1"/>
    <col min="5" max="5" width="15.140625" style="2" customWidth="1"/>
    <col min="6" max="6" width="18.85546875" style="2" customWidth="1"/>
    <col min="7" max="7" width="17.5703125" style="2" bestFit="1" customWidth="1"/>
    <col min="8" max="8" width="14.140625" style="2" customWidth="1"/>
    <col min="9" max="9" width="15.28515625" style="2" customWidth="1"/>
    <col min="10" max="10" width="13.42578125" style="2" customWidth="1"/>
    <col min="11" max="11" width="22.85546875" style="2" bestFit="1" customWidth="1"/>
    <col min="12" max="12" width="16.28515625" style="2" customWidth="1"/>
    <col min="13" max="13" width="19.42578125" style="2" customWidth="1"/>
    <col min="14" max="16384" width="9.140625" style="2"/>
  </cols>
  <sheetData>
    <row r="1" spans="2:13">
      <c r="B1" s="2" t="s">
        <v>3</v>
      </c>
      <c r="C1" s="1">
        <v>45747</v>
      </c>
    </row>
    <row r="2" spans="2:13">
      <c r="B2" s="2" t="s">
        <v>7</v>
      </c>
      <c r="C2" s="3">
        <f>SUM(I6:I8)</f>
        <v>685868.54703440308</v>
      </c>
      <c r="E2" s="15" t="s">
        <v>15</v>
      </c>
      <c r="F2" s="15"/>
      <c r="G2" s="7">
        <f>SUM($M$6:$M$8)</f>
        <v>685868.54703440308</v>
      </c>
      <c r="I2" s="15" t="s">
        <v>16</v>
      </c>
      <c r="J2" s="15"/>
      <c r="K2" s="15"/>
      <c r="L2" s="15"/>
      <c r="M2" s="2" t="b">
        <f>G2=C2</f>
        <v>1</v>
      </c>
    </row>
    <row r="3" spans="2:13">
      <c r="B3" s="2" t="s">
        <v>8</v>
      </c>
      <c r="C3" s="12" t="s">
        <v>9</v>
      </c>
    </row>
    <row r="5" spans="2:13">
      <c r="B5" s="2" t="s">
        <v>10</v>
      </c>
      <c r="C5" s="2" t="s">
        <v>17</v>
      </c>
      <c r="D5" s="2" t="s">
        <v>18</v>
      </c>
      <c r="E5" s="2" t="s">
        <v>19</v>
      </c>
      <c r="F5" s="2" t="s">
        <v>20</v>
      </c>
      <c r="G5" s="6" t="s">
        <v>21</v>
      </c>
      <c r="H5" s="2" t="s">
        <v>5</v>
      </c>
      <c r="I5" s="6" t="s">
        <v>22</v>
      </c>
      <c r="J5" s="6" t="s">
        <v>23</v>
      </c>
      <c r="K5" s="2" t="s">
        <v>24</v>
      </c>
      <c r="L5" s="6" t="s">
        <v>25</v>
      </c>
      <c r="M5" s="2" t="s">
        <v>26</v>
      </c>
    </row>
    <row r="6" spans="2:13">
      <c r="B6" s="2" t="s">
        <v>0</v>
      </c>
      <c r="C6" s="5">
        <f>'28022025'!C6</f>
        <v>0.33333333333333331</v>
      </c>
      <c r="D6" s="5">
        <f>'28022025'!L6</f>
        <v>3.077832845621788</v>
      </c>
      <c r="E6" s="5">
        <f>'28022025'!G6</f>
        <v>84212.07</v>
      </c>
      <c r="F6" s="13">
        <f>'28022025'!M6</f>
        <v>259190.67504380122</v>
      </c>
      <c r="G6" s="6">
        <f>INDEX('Close price'!$A$1:$D$400,
       MATCH($C$1, 'Close price'!$A$1:$A$400, 0),
       MATCH(B6, 'Close price'!$A$1:$D$1, 0))</f>
        <v>82421.289999999994</v>
      </c>
      <c r="H6" s="11">
        <f>G6/E6-1</f>
        <v>-2.1265122683719939E-2</v>
      </c>
      <c r="I6" s="3">
        <f>F6*(1+H6)</f>
        <v>253678.95354051859</v>
      </c>
      <c r="J6" s="11">
        <f>I6/$C$2</f>
        <v>0.36986526738598802</v>
      </c>
      <c r="K6" s="5">
        <f>1/COUNTIF($B$6:$B$8,"&lt;&gt;"&amp;"")</f>
        <v>0.33333333333333331</v>
      </c>
      <c r="L6" s="4">
        <f>($C$2*K6)/G6</f>
        <v>2.7738324528949705</v>
      </c>
      <c r="M6" s="3">
        <f>L6*G6</f>
        <v>228622.84901146768</v>
      </c>
    </row>
    <row r="7" spans="2:13">
      <c r="B7" s="2" t="s">
        <v>1</v>
      </c>
      <c r="C7" s="5">
        <f>'28022025'!C7</f>
        <v>0.33333333333333331</v>
      </c>
      <c r="D7" s="5">
        <f>'28022025'!L7</f>
        <v>116.54215049757072</v>
      </c>
      <c r="E7" s="5">
        <f>'28022025'!G7</f>
        <v>2224.0079999999998</v>
      </c>
      <c r="F7" s="13">
        <f>'28022025'!M7</f>
        <v>259190.67504380122</v>
      </c>
      <c r="G7" s="6">
        <f>INDEX('Close price'!$A$1:$D$400,
       MATCH($C$1, 'Close price'!$A$1:$A$400, 0),
       MATCH(B7, 'Close price'!$A$1:$D$1, 0))</f>
        <v>1819.57</v>
      </c>
      <c r="H7" s="11">
        <f t="shared" ref="H7:H8" si="0">G7/E7-1</f>
        <v>-0.18185096456487559</v>
      </c>
      <c r="I7" s="3">
        <f t="shared" ref="I7:I8" si="1">F7*(1+H7)</f>
        <v>212056.60078086474</v>
      </c>
      <c r="J7" s="11">
        <f t="shared" ref="J7:J8" si="2">I7/$C$2</f>
        <v>0.30917965504872175</v>
      </c>
      <c r="K7" s="5">
        <f t="shared" ref="K7:K8" si="3">1/COUNTIF($B$6:$B$8,"&lt;&gt;"&amp;"")</f>
        <v>0.33333333333333331</v>
      </c>
      <c r="L7" s="4">
        <f t="shared" ref="L7:L8" si="4">($C$2*K7)/G7</f>
        <v>125.64663574991218</v>
      </c>
      <c r="M7" s="3">
        <f t="shared" ref="M7:M8" si="5">L7*G7</f>
        <v>228622.84901146768</v>
      </c>
    </row>
    <row r="8" spans="2:13">
      <c r="B8" s="2" t="s">
        <v>2</v>
      </c>
      <c r="C8" s="5">
        <f>'28022025'!C8</f>
        <v>0.33333333333333331</v>
      </c>
      <c r="D8" s="5">
        <f>'28022025'!L8</f>
        <v>1755.1805764120247</v>
      </c>
      <c r="E8" s="5">
        <f>'28022025'!G8</f>
        <v>147.67179999999999</v>
      </c>
      <c r="F8" s="13">
        <f>'28022025'!M8</f>
        <v>259190.67504380122</v>
      </c>
      <c r="G8" s="6">
        <f>INDEX('Close price'!$A$1:$D$400,
       MATCH($C$1, 'Close price'!$A$1:$A$400, 0),
       MATCH(B8, 'Close price'!$A$1:$D$1, 0))</f>
        <v>125.419</v>
      </c>
      <c r="H8" s="11">
        <f t="shared" si="0"/>
        <v>-0.15069092406268492</v>
      </c>
      <c r="I8" s="3">
        <f t="shared" si="1"/>
        <v>220132.99271301972</v>
      </c>
      <c r="J8" s="11">
        <f t="shared" si="2"/>
        <v>0.32095507756529018</v>
      </c>
      <c r="K8" s="5">
        <f t="shared" si="3"/>
        <v>0.33333333333333331</v>
      </c>
      <c r="L8" s="4">
        <f t="shared" si="4"/>
        <v>1822.8725233933271</v>
      </c>
      <c r="M8" s="3">
        <f t="shared" si="5"/>
        <v>228622.84901146768</v>
      </c>
    </row>
  </sheetData>
  <mergeCells count="2">
    <mergeCell ref="E2:F2"/>
    <mergeCell ref="I2:L2"/>
  </mergeCells>
  <conditionalFormatting sqref="M2">
    <cfRule type="cellIs" dxfId="1" priority="1" operator="equal">
      <formula>FALSE</formula>
    </cfRule>
    <cfRule type="cellIs" dxfId="0" priority="2" operator="equal">
      <formula>TRUE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Mat</dc:creator>
  <cp:keywords/>
  <dc:description/>
  <cp:lastModifiedBy>Benjamin Mat</cp:lastModifiedBy>
  <cp:revision/>
  <dcterms:created xsi:type="dcterms:W3CDTF">2025-12-02T14:38:03Z</dcterms:created>
  <dcterms:modified xsi:type="dcterms:W3CDTF">2025-12-02T15:36:26Z</dcterms:modified>
  <cp:category/>
  <cp:contentStatus/>
</cp:coreProperties>
</file>